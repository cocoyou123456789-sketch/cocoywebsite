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c11388d85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9ef25437cc349d7"/>
    <x:sheet xmlns:r="http://schemas.openxmlformats.org/officeDocument/2006/relationships" name="Assumptions" sheetId="2" r:id="R340352f463a54e28"/>
    <x:sheet xmlns:r="http://schemas.openxmlformats.org/officeDocument/2006/relationships" name="Historical Financials" sheetId="3" r:id="R4cb551ed057643c5"/>
    <x:sheet xmlns:r="http://schemas.openxmlformats.org/officeDocument/2006/relationships" name="Forecast Model" sheetId="4" r:id="R917a4823f8874916"/>
    <x:sheet xmlns:r="http://schemas.openxmlformats.org/officeDocument/2006/relationships" name="Valuation" sheetId="5" r:id="R432ed8edc80a4b8c"/>
    <x:sheet xmlns:r="http://schemas.openxmlformats.org/officeDocument/2006/relationships" name="Sensitivity" sheetId="6" r:id="R806eabd9985946b3"/>
    <x:sheet xmlns:r="http://schemas.openxmlformats.org/officeDocument/2006/relationships" name="Checks" sheetId="7" r:id="R01532f23873a45d1"/>
    <x:sheet xmlns:r="http://schemas.openxmlformats.org/officeDocument/2006/relationships" name="Sources Audit" sheetId="8" r:id="Ra47cfaf8f7ac434a"/>
  </x:sheets>
</x:workbook>
</file>

<file path=xl/comments1.xml><?xml version="1.0" encoding="utf-8"?>
<x:comments xmlns:x="http://schemas.openxmlformats.org/spreadsheetml/2006/main">
  <x:authors>
    <x:author>tc={A68E9FD4-C679-EC7C-340D-48DF525A920D}</x:author>
    <x:author>tc={9D390E4A-B1FF-C4FB-03BF-BCC19A771267}</x:author>
    <x:author>tc={063587E7-F741-3E98-ECC5-7A945581C6B1}</x:author>
    <x:author>tc={F09E8D2A-DED8-A9B9-C832-D409CA69C031}</x:author>
    <x:author>tc={DE504014-32A3-4A68-A3BB-94CDC48C7A6B}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input or latest company filings / market data. Placeholder value included for template functionality.</x:t>
        </x:r>
      </x:text>
    </x:comment>
    <x:comment ref="B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input or latest company filings / market data. Placeholder value included for template functionality.</x:t>
        </x:r>
      </x:text>
    </x:comment>
    <x:comment ref="B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input or latest company filings / market data. Placeholder value included for template functionality.</x:t>
        </x:r>
      </x:text>
    </x:comment>
    <x:comment ref="B1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input or latest company filings / market data. Placeholder value included for template functionality.</x:t>
        </x:r>
      </x:text>
    </x:comment>
    <x:comment ref="B2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input or latest company filings / market data. Placeholder value included for template functionality.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;[Red](0.0%);-"/>
    <x:numFmt numFmtId="201" formatCode="$#,##0;[Red]($#,##0);-"/>
    <x:numFmt numFmtId="202" formatCode="$0.00;[Red]($0.00);-"/>
    <x:numFmt numFmtId="203" formatCode="yyyy-mm-dd"/>
    <x:numFmt numFmtId="204" formatCode="#,##0;[Red](#,##0);-"/>
    <x:numFmt numFmtId="205" formatCode="0.0x;[Red](0.0x);-"/>
    <x:numFmt numFmtId="206" formatCode="0.00"/>
    <x:numFmt numFmtId="207" formatCode="#,##0.0;[Red](#,##0.0);-"/>
  </x:numFmts>
  <x:fonts count="10">
    <x:font>
      <x:sz val="11"/>
      <x:name val="Carlito"/>
    </x:font>
    <x:font>
      <x:sz val="10"/>
      <x:color rgb="FF000000"/>
      <x:name val="Aptos"/>
    </x:font>
    <x:font>
      <x:b/>
      <x:sz val="16"/>
      <x:color rgb="FF0F172A"/>
      <x:name val="Aptos"/>
    </x:font>
    <x:font>
      <x:b/>
      <x:sz val="11"/>
      <x:color rgb="FF1E3A5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FF0000"/>
      <x:name val="Carlito"/>
    </x:font>
    <x:font>
      <x:i/>
      <x:sz val="11"/>
      <x:color rgb="FF475569"/>
      <x:name val="Carlito"/>
    </x:font>
  </x:fonts>
  <x:fills count="2">
    <x:fill>
      <x:patternFill patternType="none"/>
    </x:fill>
    <x:fill>
      <x:patternFill patternType="gray125"/>
    </x:fill>
  </x:fills>
  <x:borders count="29">
    <x:border/>
    <x:border>
      <x:left style="thin">
        <x:color rgb="FF1E3A5F"/>
      </x:left>
      <x:top style="thin">
        <x:color rgb="FF1E3A5F"/>
      </x:top>
      <x:bottom style="thin">
        <x:color rgb="FF1E3A5F"/>
      </x:bottom>
    </x:border>
    <x:border>
      <x:top style="thin">
        <x:color rgb="FF1E3A5F"/>
      </x:top>
      <x:bottom style="thin">
        <x:color rgb="FF1E3A5F"/>
      </x:bottom>
    </x:border>
    <x:border>
      <x:right style="thin">
        <x:color rgb="FF1E3A5F"/>
      </x:right>
      <x:top style="thin">
        <x:color rgb="FF1E3A5F"/>
      </x:top>
      <x:bottom style="thin">
        <x:color rgb="FF1E3A5F"/>
      </x:bottom>
    </x:border>
    <x:border>
      <x:left style="thin">
        <x:color rgb="FFB7C3D0"/>
      </x:left>
      <x:top style="thin">
        <x:color rgb="FFB7C3D0"/>
      </x:top>
      <x:bottom style="thin">
        <x:color rgb="FFB7C3D0"/>
      </x:bottom>
    </x:border>
    <x:border>
      <x:top style="thin">
        <x:color rgb="FFB7C3D0"/>
      </x:top>
      <x:bottom style="thin">
        <x:color rgb="FFB7C3D0"/>
      </x:bottom>
    </x:border>
    <x:border>
      <x:right style="thin">
        <x:color rgb="FFB7C3D0"/>
      </x:right>
      <x:top style="thin">
        <x:color rgb="FFB7C3D0"/>
      </x:top>
      <x:bottom style="thin">
        <x:color rgb="FFB7C3D0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7C3D0"/>
      </x:left>
      <x:right style="thin">
        <x:color rgb="FFD9E2EC"/>
      </x:right>
      <x:top style="thin">
        <x:color rgb="FFB7C3D0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B7C3D0"/>
      </x:top>
      <x:bottom style="thin">
        <x:color rgb="FFD9E2EC"/>
      </x:bottom>
    </x:border>
    <x:border>
      <x:left style="thin">
        <x:color rgb="FFD9E2EC"/>
      </x:left>
      <x:top style="thin">
        <x:color rgb="FFB7C3D0"/>
      </x:top>
      <x:bottom style="thin">
        <x:color rgb="FFD9E2EC"/>
      </x:bottom>
    </x:border>
    <x:border>
      <x:left style="thin">
        <x:color rgb="FFB7C3D0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7C3D0"/>
      </x:left>
      <x:right style="thin">
        <x:color rgb="FFD9E2EC"/>
      </x:right>
      <x:top style="thin">
        <x:color rgb="FFD9E2EC"/>
      </x:top>
      <x:bottom style="thin">
        <x:color rgb="FFB7C3D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B7C3D0"/>
      </x:bottom>
    </x:border>
    <x:border>
      <x:left style="thin">
        <x:color rgb="FFD9E2EC"/>
      </x:left>
      <x:top style="thin">
        <x:color rgb="FFD9E2EC"/>
      </x:top>
      <x:bottom style="thin">
        <x:color rgb="FFB7C3D0"/>
      </x:bottom>
    </x:border>
    <x:border>
      <x:left style="thin">
        <x:color rgb="FFB7C3D0"/>
      </x:left>
      <x:right style="thin">
        <x:color rgb="FFD9E2EC"/>
      </x:right>
      <x:top style="thin">
        <x:color rgb="FF000000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000000"/>
      </x:top>
      <x:bottom style="thin">
        <x:color rgb="FFD9E2EC"/>
      </x:bottom>
    </x:border>
    <x:border>
      <x:left style="thin">
        <x:color rgb="FFB7C3D0"/>
      </x:left>
      <x:right style="thin">
        <x:color rgb="FFD9E2EC"/>
      </x:right>
      <x:top style="thin">
        <x:color rgb="FF000000"/>
      </x:top>
      <x:bottom style="thin">
        <x:color rgb="FFB7C3D0"/>
      </x:bottom>
    </x:border>
    <x:border>
      <x:left style="thin">
        <x:color rgb="FFD9E2EC"/>
      </x:left>
      <x:right style="thin">
        <x:color rgb="FFD9E2EC"/>
      </x:right>
      <x:top style="thin">
        <x:color rgb="FF000000"/>
      </x:top>
      <x:bottom style="thin">
        <x:color rgb="FFB7C3D0"/>
      </x:bottom>
    </x:border>
    <x:border>
      <x:left style="thin">
        <x:color rgb="FFB7C3D0"/>
      </x:left>
      <x:right style="thin">
        <x:color rgb="FFB7C3D0"/>
      </x:right>
      <x:top style="thin">
        <x:color rgb="FFB7C3D0"/>
      </x:top>
    </x:border>
    <x:border>
      <x:left style="thin">
        <x:color rgb="FFB7C3D0"/>
      </x:left>
      <x:right style="thin">
        <x:color rgb="FFB7C3D0"/>
      </x:right>
    </x:border>
    <x:border>
      <x:left style="thin">
        <x:color rgb="FFB7C3D0"/>
      </x:left>
      <x:right style="thin">
        <x:color rgb="FFB7C3D0"/>
      </x:right>
      <x:bottom style="thin">
        <x:color rgb="FFB7C3D0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20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3" borderId="3" xfId="0" applyNumberFormat="1" applyFont="1" applyFill="0" applyBorder="1"/>
    <x:xf numFmtId="0" fontId="4" borderId="0" xfId="0" applyNumberFormat="1" applyFont="1" applyFill="0" applyBorder="1"/>
    <x:xf numFmtId="0" fontId="4" borderId="4" xfId="0" applyNumberFormat="1" applyFont="1" applyFill="0" applyBorder="1"/>
    <x:xf numFmtId="0" fontId="4" borderId="5" xfId="0" applyNumberFormat="1" applyFont="1" applyFill="0" applyBorder="1"/>
    <x:xf numFmtId="0" fontId="4" borderId="6" xfId="0" applyNumberFormat="1" applyFont="1" applyFill="0" applyBorder="1"/>
    <x:xf numFmtId="0" fontId="4" borderId="4" xfId="0" applyNumberFormat="1" applyFont="1" applyFill="0" applyBorder="1" applyAlignment="1">
      <x:alignment horizontal="center"/>
    </x:xf>
    <x:xf numFmtId="0" fontId="4" borderId="5" xfId="0" applyNumberFormat="1" applyFont="1" applyFill="0" applyBorder="1" applyAlignment="1">
      <x:alignment horizontal="center"/>
    </x:xf>
    <x:xf numFmtId="0" fontId="4" borderId="6" xfId="0" applyNumberFormat="1" applyFont="1" applyFill="0" applyBorder="1" applyAlignment="1">
      <x:alignment horizont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borderId="0" xfId="0" applyNumberFormat="1" applyFont="1" applyFill="0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borderId="0" xfId="0" applyNumberFormat="1" applyFont="1" applyFill="0" applyBorder="1"/>
    <x:xf numFmtId="0" fontId="9" borderId="0" xfId="0" applyNumberFormat="1" applyFont="1" applyFill="0" applyBorder="1" applyAlignment="1">
      <x:alignment wrapText="1"/>
    </x:xf>
    <x:xf numFmtId="203" fontId="6" borderId="0" xfId="0" applyNumberFormat="1" applyFont="1" applyFill="0" applyBorder="1"/>
    <x:xf numFmtId="0" fontId="4" borderId="6" xfId="0" applyNumberFormat="1" applyFont="1" applyFill="0" applyBorder="1" applyAlignment="1">
      <x:alignment horizontal="center" wrapText="1"/>
    </x:xf>
    <x:xf numFmtId="200" fontId="6" borderId="0" xfId="0" applyNumberFormat="1" applyFont="1" applyFill="0" applyBorder="1"/>
    <x:xf numFmtId="204" fontId="6" borderId="0" xfId="0" applyNumberFormat="1" applyFont="1" applyFill="0" applyBorder="1"/>
    <x:xf numFmtId="205" fontId="6" borderId="0" xfId="0" applyNumberFormat="1" applyFont="1" applyFill="0" applyBorder="1"/>
    <x:xf numFmtId="200" fontId="7" fillId="0" borderId="0" xfId="0" applyNumberFormat="1" applyFont="1" applyFill="1" applyBorder="1"/>
    <x:xf numFmtId="0" fontId="4" borderId="13" xfId="0" applyNumberFormat="1" applyFont="1" applyFill="0" applyBorder="1" applyAlignment="1">
      <x:alignment horizontal="center"/>
    </x:xf>
    <x:xf numFmtId="0" fontId="4" borderId="14" xfId="0" applyNumberFormat="1" applyFont="1" applyFill="0" applyBorder="1" applyAlignment="1">
      <x:alignment horizontal="center"/>
    </x:xf>
    <x:xf numFmtId="0" fontId="4" borderId="15" xfId="0" applyNumberFormat="1" applyFont="1" applyFill="0" applyBorder="1" applyAlignment="1">
      <x:alignment horizontal="center"/>
    </x:xf>
    <x:xf numFmtId="0" fontId="0" fillId="0" borderId="16" xfId="0" applyNumberFormat="1" applyFont="1" applyFill="1" applyBorder="1"/>
    <x:xf numFmtId="200" fontId="6" borderId="17" xfId="0" applyNumberFormat="1" applyFont="1" applyFill="0" applyBorder="1"/>
    <x:xf numFmtId="200" fontId="7" fillId="0" borderId="17" xfId="0" applyNumberFormat="1" applyFont="1" applyFill="1" applyBorder="1"/>
    <x:xf numFmtId="0" fontId="0" fillId="0" borderId="18" xfId="0" applyNumberFormat="1" applyFont="1" applyFill="1" applyBorder="1"/>
    <x:xf numFmtId="200" fontId="6" borderId="19" xfId="0" applyNumberFormat="1" applyFont="1" applyFill="0" applyBorder="1"/>
    <x:xf numFmtId="200" fontId="7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204" fontId="6" borderId="17" xfId="0" applyNumberFormat="1" applyFont="1" applyFill="0" applyBorder="1"/>
    <x:xf numFmtId="0" fontId="6" borderId="17" xfId="0" applyNumberFormat="1" applyFont="1" applyFill="0" applyBorder="1"/>
    <x:xf numFmtId="0" fontId="6" borderId="10" xfId="0" applyNumberFormat="1" applyFont="1" applyFill="0" applyBorder="1"/>
    <x:xf numFmtId="204" fontId="6" borderId="19" xfId="0" applyNumberFormat="1" applyFont="1" applyFill="0" applyBorder="1"/>
    <x:xf numFmtId="0" fontId="6" borderId="19" xfId="0" applyNumberFormat="1" applyFont="1" applyFill="0" applyBorder="1"/>
    <x:xf numFmtId="0" fontId="6" borderId="20" xfId="0" applyNumberFormat="1" applyFont="1" applyFill="0" applyBorder="1"/>
    <x:xf numFmtId="0" fontId="6" borderId="10" xfId="0" applyNumberFormat="1" applyFont="1" applyFill="0" applyBorder="1" applyAlignment="1">
      <x:alignment wrapText="1"/>
    </x:xf>
    <x:xf numFmtId="0" fontId="6" borderId="20" xfId="0" applyNumberFormat="1" applyFont="1" applyFill="0" applyBorder="1" applyAlignment="1">
      <x:alignment wrapText="1"/>
    </x:xf>
    <x:xf numFmtId="201" fontId="7" fillId="0" borderId="0" xfId="0" applyNumberFormat="1" applyFont="1" applyFill="1" applyBorder="1"/>
    <x:xf numFmtId="201" fontId="5" fillId="0" borderId="17" xfId="0" applyNumberFormat="1" applyFont="1" applyFill="1" applyBorder="1"/>
    <x:xf numFmtId="201" fontId="7" fillId="0" borderId="17" xfId="0" applyNumberFormat="1" applyFont="1" applyFill="1" applyBorder="1"/>
    <x:xf numFmtId="201" fontId="7" fillId="0" borderId="10" xfId="0" applyNumberFormat="1" applyFont="1" applyFill="1" applyBorder="1"/>
    <x:xf numFmtId="200" fontId="5" fillId="0" borderId="17" xfId="0" applyNumberFormat="1" applyFont="1" applyFill="1" applyBorder="1"/>
    <x:xf numFmtId="200" fontId="7" fillId="0" borderId="10" xfId="0" applyNumberFormat="1" applyFont="1" applyFill="1" applyBorder="1"/>
    <x:xf numFmtId="0" fontId="5" fillId="0" borderId="17" xfId="0" applyNumberFormat="1" applyFont="1" applyFill="1" applyBorder="1"/>
    <x:xf numFmtId="0" fontId="7" fillId="0" borderId="17" xfId="0" applyNumberFormat="1" applyFont="1" applyFill="1" applyBorder="1"/>
    <x:xf numFmtId="0" fontId="7" fillId="0" borderId="10" xfId="0" applyNumberFormat="1" applyFont="1" applyFill="1" applyBorder="1"/>
    <x:xf numFmtId="0" fontId="0" fillId="0" borderId="19" xfId="0" applyNumberFormat="1" applyFont="1" applyFill="1" applyBorder="1"/>
    <x:xf numFmtId="0" fontId="7" fillId="0" borderId="20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204" fontId="7" fillId="0" borderId="0" xfId="0" applyNumberFormat="1" applyFont="1" applyFill="1" applyBorder="1"/>
    <x:xf numFmtId="202" fontId="7" fillId="0" borderId="0" xfId="0" applyNumberFormat="1" applyFont="1" applyFill="1" applyBorder="1"/>
    <x:xf numFmtId="206" fontId="5" fillId="0" borderId="0" xfId="0" applyNumberFormat="1" applyFont="1" applyFill="1" applyBorder="1"/>
    <x:xf numFmtId="205" fontId="7" fillId="0" borderId="0" xfId="0" applyNumberFormat="1" applyFont="1" applyFill="1" applyBorder="1"/>
    <x:xf numFmtId="0" fontId="0" fillId="0" borderId="17" xfId="0" applyNumberFormat="1" applyFont="1" applyFill="1" applyBorder="1"/>
    <x:xf numFmtId="0" fontId="5" fillId="0" borderId="10" xfId="0" applyNumberFormat="1" applyFont="1" applyFill="1" applyBorder="1"/>
    <x:xf numFmtId="206" fontId="5" fillId="0" borderId="17" xfId="0" applyNumberFormat="1" applyFont="1" applyFill="1" applyBorder="1"/>
    <x:xf numFmtId="206" fontId="5" fillId="0" borderId="10" xfId="0" applyNumberFormat="1" applyFont="1" applyFill="1" applyBorder="1"/>
    <x:xf numFmtId="204" fontId="7" fillId="0" borderId="17" xfId="0" applyNumberFormat="1" applyFont="1" applyFill="1" applyBorder="1"/>
    <x:xf numFmtId="202" fontId="7" fillId="0" borderId="17" xfId="0" applyNumberFormat="1" applyFont="1" applyFill="1" applyBorder="1"/>
    <x:xf numFmtId="205" fontId="7" fillId="0" borderId="17" xfId="0" applyNumberFormat="1" applyFont="1" applyFill="1" applyBorder="1"/>
    <x:xf numFmtId="201" fontId="4" fillId="0" borderId="17" xfId="0" applyNumberFormat="1" applyFont="1" applyFill="1" applyBorder="1"/>
    <x:xf numFmtId="201" fontId="4" fillId="0" borderId="22" xfId="0" applyNumberFormat="1" applyFont="1" applyFill="1" applyBorder="1"/>
    <x:xf numFmtId="202" fontId="4" fillId="0" borderId="17" xfId="0" applyNumberFormat="1" applyFont="1" applyFill="1" applyBorder="1"/>
    <x:xf numFmtId="202" fontId="4" fillId="0" borderId="22" xfId="0" applyNumberFormat="1" applyFont="1" applyFill="1" applyBorder="1"/>
    <x:xf numFmtId="0" fontId="4" borderId="25" xfId="0" applyNumberFormat="1" applyFont="1" applyFill="0" applyBorder="1"/>
    <x:xf numFmtId="0" fontId="4" borderId="26" xfId="0" applyNumberFormat="1" applyFont="1" applyFill="0" applyBorder="1"/>
    <x:xf numFmtId="0" fontId="4" borderId="27" xfId="0" applyNumberFormat="1" applyFont="1" applyFill="0" applyBorder="1"/>
    <x:xf numFmtId="0" fontId="4" borderId="25" xfId="0" applyNumberFormat="1" applyFont="1" applyFill="0" applyBorder="1" applyAlignment="1">
      <x:alignment horizontal="center"/>
    </x:xf>
    <x:xf numFmtId="0" fontId="4" borderId="26" xfId="0" applyNumberFormat="1" applyFont="1" applyFill="0" applyBorder="1" applyAlignment="1">
      <x:alignment horizontal="center"/>
    </x:xf>
    <x:xf numFmtId="0" fontId="4" borderId="27" xfId="0" applyNumberFormat="1" applyFont="1" applyFill="0" applyBorder="1" applyAlignment="1">
      <x:alignment horizontal="center"/>
    </x:xf>
    <x:xf numFmtId="200" fontId="4" borderId="25" xfId="0" applyNumberFormat="1" applyFont="1" applyFill="0" applyBorder="1" applyAlignment="1">
      <x:alignment horizontal="center"/>
    </x:xf>
    <x:xf numFmtId="200" fontId="4" borderId="26" xfId="0" applyNumberFormat="1" applyFont="1" applyFill="0" applyBorder="1" applyAlignment="1">
      <x:alignment horizontal="center"/>
    </x:xf>
    <x:xf numFmtId="200" fontId="4" borderId="27" xfId="0" applyNumberFormat="1" applyFont="1" applyFill="0" applyBorder="1" applyAlignment="1">
      <x:alignment horizontal="center"/>
    </x:xf>
    <x:xf numFmtId="202" fontId="0" fillId="0" borderId="0" xfId="0" applyNumberFormat="1" applyFont="1" applyFill="1" applyBorder="1"/>
    <x:xf numFmtId="200" fontId="4" borderId="16" xfId="0" applyNumberFormat="1" applyFont="1" applyFill="0" applyBorder="1" applyAlignment="1">
      <x:alignment horizontal="center"/>
    </x:xf>
    <x:xf numFmtId="202" fontId="0" fillId="0" borderId="17" xfId="0" applyNumberFormat="1" applyFont="1" applyFill="1" applyBorder="1"/>
    <x:xf numFmtId="202" fontId="0" fillId="0" borderId="10" xfId="0" applyNumberFormat="1" applyFont="1" applyFill="1" applyBorder="1"/>
    <x:xf numFmtId="200" fontId="4" borderId="18" xfId="0" applyNumberFormat="1" applyFont="1" applyFill="0" applyBorder="1" applyAlignment="1">
      <x:alignment horizontal="center"/>
    </x:xf>
    <x:xf numFmtId="202" fontId="0" fillId="0" borderId="19" xfId="0" applyNumberFormat="1" applyFont="1" applyFill="1" applyBorder="1"/>
    <x:xf numFmtId="202" fontId="0" fillId="0" borderId="20" xfId="0" applyNumberFormat="1" applyFont="1" applyFill="1" applyBorder="1"/>
    <x:xf numFmtId="0" fontId="4" fillId="0" borderId="0" xfId="0" applyNumberFormat="1" applyFont="1" applyFill="1" applyBorder="1"/>
    <x:xf numFmtId="0" fontId="4" fillId="0" borderId="28" xfId="0" applyNumberFormat="1" applyFont="1" applyFill="1" applyBorder="1"/>
    <x:xf numFmtId="207" fontId="0" fillId="0" borderId="17" xfId="0" applyNumberFormat="1" applyFont="1" applyFill="1" applyBorder="1"/>
    <x:xf numFmtId="207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borderId="18" xfId="0" applyNumberFormat="1" applyFont="1" applyFill="0" applyBorder="1"/>
    <x:xf numFmtId="0" fontId="0" borderId="19" xfId="0" applyNumberFormat="1" applyFont="1" applyFill="0" applyBorder="1"/>
    <x:xf numFmtId="0" fontId="0" borderId="19" xfId="0" applyNumberFormat="1" applyFont="1" applyFill="0" applyBorder="1" applyAlignment="1">
      <x:alignment wrapText="1"/>
    </x:xf>
    <x:xf numFmtId="0" fontId="0" borderId="20" xfId="0" applyNumberFormat="1" applyFont="1" applyFill="0" applyBorder="1" applyAlignment="1">
      <x:alignment wrapText="1"/>
    </x:xf>
    <x:xf numFmtId="0" fontId="9" borderId="18" xfId="0" applyNumberFormat="1" applyFont="1" applyFill="0" applyBorder="1"/>
    <x:xf numFmtId="0" fontId="9" borderId="19" xfId="0" applyNumberFormat="1" applyFont="1" applyFill="0" applyBorder="1"/>
    <x:xf numFmtId="0" fontId="9" borderId="19" xfId="0" applyNumberFormat="1" applyFont="1" applyFill="0" applyBorder="1" applyAlignment="1">
      <x:alignment wrapText="1"/>
    </x:xf>
    <x:xf numFmtId="0" fontId="9" borderId="20" xfId="0" applyNumberFormat="1" applyFont="1" applyFill="0" applyBorder="1" applyAlignment="1">
      <x:alignment wrapText="1"/>
    </x:xf>
    <x:xf numFmtId="0" fontId="9" borderId="18" xfId="0" applyNumberFormat="1" applyFont="1" applyFill="0" applyBorder="1" applyAlignment="1">
      <x:alignment wrapText="1"/>
    </x:xf>
    <x:xf numFmtId="201" fontId="0" fillId="0" borderId="0" xfId="0" applyNumberFormat="1" applyFont="1" applyFill="1" applyBorder="1"/>
    <x:xf numFmtId="0" fontId="2" borderId="0" xfId="0" applyNumberFormat="1" applyFont="1" applyFill="0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3" borderId="1" xfId="0" applyNumberFormat="1" applyFont="1" applyFill="0" applyBorder="1" applyAlignment="1">
      <x:alignment wrapText="0"/>
    </x:xf>
    <x:xf numFmtId="0" fontId="3" borderId="2" xfId="0" applyNumberFormat="1" applyFont="1" applyFill="0" applyBorder="1" applyAlignment="1">
      <x:alignment wrapText="0"/>
    </x:xf>
    <x:xf numFmtId="0" fontId="3" borderId="3" xfId="0" applyNumberFormat="1" applyFont="1" applyFill="0" applyBorder="1" applyAlignment="1">
      <x:alignment wrapText="0"/>
    </x:xf>
    <x:xf numFmtId="0" fontId="4" borderId="4" xfId="0" applyNumberFormat="1" applyFont="1" applyFill="0" applyBorder="1" applyAlignment="1">
      <x:alignment horizontal="center" wrapText="0"/>
    </x:xf>
    <x:xf numFmtId="0" fontId="4" borderId="5" xfId="0" applyNumberFormat="1" applyFont="1" applyFill="0" applyBorder="1" applyAlignment="1">
      <x:alignment horizontal="center" wrapText="0"/>
    </x:xf>
    <x:xf numFmtId="0" fontId="4" borderId="6" xfId="0" applyNumberFormat="1" applyFont="1" applyFill="0" applyBorder="1" applyAlignment="1">
      <x:alignment horizontal="center" wrapText="0"/>
    </x:xf>
    <x:xf numFmtId="0" fontId="5" fillId="0" borderId="0" xfId="0" applyNumberFormat="1" applyFont="1" applyFill="1" applyBorder="1" applyAlignment="1">
      <x:alignment wrapText="0"/>
    </x:xf>
    <x:xf numFmtId="200" fontId="5" fillId="0" borderId="0" xfId="0" applyNumberFormat="1" applyFont="1" applyFill="1" applyBorder="1" applyAlignment="1">
      <x:alignment wrapText="0"/>
    </x:xf>
    <x:xf numFmtId="201" fontId="5" fillId="0" borderId="0" xfId="0" applyNumberFormat="1" applyFont="1" applyFill="1" applyBorder="1" applyAlignment="1">
      <x:alignment wrapText="0"/>
    </x:xf>
    <x:xf numFmtId="202" fontId="5" fillId="0" borderId="0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</x:xf>
    <x:xf numFmtId="0" fontId="0" fillId="0" borderId="12" xfId="0" applyNumberFormat="1" applyFont="1" applyFill="1" applyBorder="1" applyAlignment="1">
      <x:alignment wrapText="0"/>
    </x:xf>
    <x:xf numFmtId="0" fontId="6" borderId="0" xfId="0" applyNumberFormat="1" applyFont="1" applyFill="0" applyBorder="1" applyAlignment="1">
      <x:alignment wrapText="0"/>
    </x:xf>
    <x:xf numFmtId="0" fontId="7" fillId="0" borderId="0" xfId="0" applyNumberFormat="1" applyFont="1" applyFill="1" applyBorder="1" applyAlignment="1">
      <x:alignment wrapText="0"/>
    </x:xf>
    <x:xf numFmtId="0" fontId="8" fillId="0" borderId="0" xfId="0" applyNumberFormat="1" applyFont="1" applyFill="1" applyBorder="1" applyAlignment="1">
      <x:alignment wrapText="0"/>
    </x:xf>
    <x:xf numFmtId="0" fontId="9" borderId="0" xfId="0" applyNumberFormat="1" applyFont="1" applyFill="0" applyBorder="1" applyAlignment="1">
      <x:alignment wrapText="0"/>
    </x:xf>
    <x:xf numFmtId="203" fontId="6" borderId="0" xfId="0" applyNumberFormat="1" applyFont="1" applyFill="0" applyBorder="1" applyAlignment="1">
      <x:alignment wrapText="0"/>
    </x:xf>
    <x:xf numFmtId="200" fontId="6" borderId="0" xfId="0" applyNumberFormat="1" applyFont="1" applyFill="0" applyBorder="1" applyAlignment="1">
      <x:alignment wrapText="0"/>
    </x:xf>
    <x:xf numFmtId="204" fontId="6" borderId="0" xfId="0" applyNumberFormat="1" applyFont="1" applyFill="0" applyBorder="1" applyAlignment="1">
      <x:alignment wrapText="0"/>
    </x:xf>
    <x:xf numFmtId="205" fontId="6" borderId="0" xfId="0" applyNumberFormat="1" applyFont="1" applyFill="0" applyBorder="1" applyAlignment="1">
      <x:alignment wrapText="0"/>
    </x:xf>
    <x:xf numFmtId="0" fontId="4" borderId="13" xfId="0" applyNumberFormat="1" applyFont="1" applyFill="0" applyBorder="1" applyAlignment="1">
      <x:alignment horizontal="center" wrapText="0"/>
    </x:xf>
    <x:xf numFmtId="0" fontId="4" borderId="14" xfId="0" applyNumberFormat="1" applyFont="1" applyFill="0" applyBorder="1" applyAlignment="1">
      <x:alignment horizontal="center" wrapText="0"/>
    </x:xf>
    <x:xf numFmtId="0" fontId="4" borderId="15" xfId="0" applyNumberFormat="1" applyFont="1" applyFill="0" applyBorder="1" applyAlignment="1">
      <x:alignment horizontal="center" wrapText="0"/>
    </x:xf>
    <x:xf numFmtId="0" fontId="0" fillId="0" borderId="16" xfId="0" applyNumberFormat="1" applyFont="1" applyFill="1" applyBorder="1" applyAlignment="1">
      <x:alignment wrapText="0"/>
    </x:xf>
    <x:xf numFmtId="200" fontId="6" borderId="17" xfId="0" applyNumberFormat="1" applyFont="1" applyFill="0" applyBorder="1" applyAlignment="1">
      <x:alignment wrapText="0"/>
    </x:xf>
    <x:xf numFmtId="200" fontId="7" fillId="0" borderId="17" xfId="0" applyNumberFormat="1" applyFont="1" applyFill="1" applyBorder="1" applyAlignment="1">
      <x:alignment wrapText="0"/>
    </x:xf>
    <x:xf numFmtId="0" fontId="0" fillId="0" borderId="18" xfId="0" applyNumberFormat="1" applyFont="1" applyFill="1" applyBorder="1" applyAlignment="1">
      <x:alignment wrapText="0"/>
    </x:xf>
    <x:xf numFmtId="200" fontId="6" borderId="19" xfId="0" applyNumberFormat="1" applyFont="1" applyFill="0" applyBorder="1" applyAlignment="1">
      <x:alignment wrapText="0"/>
    </x:xf>
    <x:xf numFmtId="200" fontId="7" fillId="0" borderId="19" xfId="0" applyNumberFormat="1" applyFont="1" applyFill="1" applyBorder="1" applyAlignment="1">
      <x:alignment wrapText="0"/>
    </x:xf>
    <x:xf numFmtId="0" fontId="0" fillId="0" borderId="20" xfId="0" applyNumberFormat="1" applyFont="1" applyFill="1" applyBorder="1" applyAlignment="1">
      <x:alignment wrapText="0"/>
    </x:xf>
    <x:xf numFmtId="204" fontId="6" borderId="17" xfId="0" applyNumberFormat="1" applyFont="1" applyFill="0" applyBorder="1" applyAlignment="1">
      <x:alignment wrapText="0"/>
    </x:xf>
    <x:xf numFmtId="0" fontId="6" borderId="17" xfId="0" applyNumberFormat="1" applyFont="1" applyFill="0" applyBorder="1" applyAlignment="1">
      <x:alignment wrapText="0"/>
    </x:xf>
    <x:xf numFmtId="0" fontId="6" borderId="10" xfId="0" applyNumberFormat="1" applyFont="1" applyFill="0" applyBorder="1" applyAlignment="1">
      <x:alignment wrapText="0"/>
    </x:xf>
    <x:xf numFmtId="204" fontId="6" borderId="19" xfId="0" applyNumberFormat="1" applyFont="1" applyFill="0" applyBorder="1" applyAlignment="1">
      <x:alignment wrapText="0"/>
    </x:xf>
    <x:xf numFmtId="0" fontId="6" borderId="19" xfId="0" applyNumberFormat="1" applyFont="1" applyFill="0" applyBorder="1" applyAlignment="1">
      <x:alignment wrapText="0"/>
    </x:xf>
    <x:xf numFmtId="0" fontId="6" borderId="20" xfId="0" applyNumberFormat="1" applyFont="1" applyFill="0" applyBorder="1" applyAlignment="1">
      <x:alignment wrapText="0"/>
    </x:xf>
    <x:xf numFmtId="201" fontId="5" fillId="0" borderId="17" xfId="0" applyNumberFormat="1" applyFont="1" applyFill="1" applyBorder="1" applyAlignment="1">
      <x:alignment wrapText="0"/>
    </x:xf>
    <x:xf numFmtId="201" fontId="7" fillId="0" borderId="17" xfId="0" applyNumberFormat="1" applyFont="1" applyFill="1" applyBorder="1" applyAlignment="1">
      <x:alignment wrapText="0"/>
    </x:xf>
    <x:xf numFmtId="201" fontId="7" fillId="0" borderId="10" xfId="0" applyNumberFormat="1" applyFont="1" applyFill="1" applyBorder="1" applyAlignment="1">
      <x:alignment wrapText="0"/>
    </x:xf>
    <x:xf numFmtId="200" fontId="5" fillId="0" borderId="17" xfId="0" applyNumberFormat="1" applyFont="1" applyFill="1" applyBorder="1" applyAlignment="1">
      <x:alignment wrapText="0"/>
    </x:xf>
    <x:xf numFmtId="200" fontId="7" fillId="0" borderId="10" xfId="0" applyNumberFormat="1" applyFont="1" applyFill="1" applyBorder="1" applyAlignment="1">
      <x:alignment wrapText="0"/>
    </x:xf>
    <x:xf numFmtId="0" fontId="5" fillId="0" borderId="17" xfId="0" applyNumberFormat="1" applyFont="1" applyFill="1" applyBorder="1" applyAlignment="1">
      <x:alignment wrapText="0"/>
    </x:xf>
    <x:xf numFmtId="0" fontId="7" fillId="0" borderId="17" xfId="0" applyNumberFormat="1" applyFont="1" applyFill="1" applyBorder="1" applyAlignment="1">
      <x:alignment wrapText="0"/>
    </x:xf>
    <x:xf numFmtId="0" fontId="7" fillId="0" borderId="10" xfId="0" applyNumberFormat="1" applyFont="1" applyFill="1" applyBorder="1" applyAlignment="1">
      <x:alignment wrapText="0"/>
    </x:xf>
    <x:xf numFmtId="0" fontId="4" fillId="0" borderId="21" xfId="0" applyNumberFormat="1" applyFont="1" applyFill="1" applyBorder="1" applyAlignment="1">
      <x:alignment wrapText="0"/>
    </x:xf>
    <x:xf numFmtId="0" fontId="4" fillId="0" borderId="22" xfId="0" applyNumberFormat="1" applyFont="1" applyFill="1" applyBorder="1" applyAlignment="1">
      <x:alignment wrapText="0"/>
    </x:xf>
    <x:xf numFmtId="0" fontId="4" fillId="0" borderId="23" xfId="0" applyNumberFormat="1" applyFont="1" applyFill="1" applyBorder="1" applyAlignment="1">
      <x:alignment wrapText="0"/>
    </x:xf>
    <x:xf numFmtId="0" fontId="4" fillId="0" borderId="24" xfId="0" applyNumberFormat="1" applyFont="1" applyFill="1" applyBorder="1" applyAlignment="1">
      <x:alignment wrapText="0"/>
    </x:xf>
    <x:xf numFmtId="0" fontId="0" fillId="0" borderId="17" xfId="0" applyNumberFormat="1" applyFont="1" applyFill="1" applyBorder="1" applyAlignment="1">
      <x:alignment wrapText="0"/>
    </x:xf>
    <x:xf numFmtId="0" fontId="5" fillId="0" borderId="10" xfId="0" applyNumberFormat="1" applyFont="1" applyFill="1" applyBorder="1" applyAlignment="1">
      <x:alignment wrapText="0"/>
    </x:xf>
    <x:xf numFmtId="206" fontId="5" fillId="0" borderId="17" xfId="0" applyNumberFormat="1" applyFont="1" applyFill="1" applyBorder="1" applyAlignment="1">
      <x:alignment wrapText="0"/>
    </x:xf>
    <x:xf numFmtId="206" fontId="5" fillId="0" borderId="10" xfId="0" applyNumberFormat="1" applyFont="1" applyFill="1" applyBorder="1" applyAlignment="1">
      <x:alignment wrapText="0"/>
    </x:xf>
    <x:xf numFmtId="201" fontId="4" fillId="0" borderId="22" xfId="0" applyNumberFormat="1" applyFont="1" applyFill="1" applyBorder="1" applyAlignment="1">
      <x:alignment wrapText="0"/>
    </x:xf>
    <x:xf numFmtId="204" fontId="7" fillId="0" borderId="17" xfId="0" applyNumberFormat="1" applyFont="1" applyFill="1" applyBorder="1" applyAlignment="1">
      <x:alignment wrapText="0"/>
    </x:xf>
    <x:xf numFmtId="202" fontId="4" fillId="0" borderId="22" xfId="0" applyNumberFormat="1" applyFont="1" applyFill="1" applyBorder="1" applyAlignment="1">
      <x:alignment wrapText="0"/>
    </x:xf>
    <x:xf numFmtId="205" fontId="7" fillId="0" borderId="17" xfId="0" applyNumberFormat="1" applyFont="1" applyFill="1" applyBorder="1" applyAlignment="1">
      <x:alignment wrapText="0"/>
    </x:xf>
    <x:xf numFmtId="0" fontId="0" fillId="0" borderId="19" xfId="0" applyNumberFormat="1" applyFont="1" applyFill="1" applyBorder="1" applyAlignment="1">
      <x:alignment wrapText="0"/>
    </x:xf>
    <x:xf numFmtId="200" fontId="4" borderId="16" xfId="0" applyNumberFormat="1" applyFont="1" applyFill="0" applyBorder="1" applyAlignment="1">
      <x:alignment horizontal="center" wrapText="0"/>
    </x:xf>
    <x:xf numFmtId="202" fontId="0" fillId="0" borderId="17" xfId="0" applyNumberFormat="1" applyFont="1" applyFill="1" applyBorder="1" applyAlignment="1">
      <x:alignment wrapText="0"/>
    </x:xf>
    <x:xf numFmtId="202" fontId="0" fillId="0" borderId="10" xfId="0" applyNumberFormat="1" applyFont="1" applyFill="1" applyBorder="1" applyAlignment="1">
      <x:alignment wrapText="0"/>
    </x:xf>
    <x:xf numFmtId="200" fontId="4" borderId="18" xfId="0" applyNumberFormat="1" applyFont="1" applyFill="0" applyBorder="1" applyAlignment="1">
      <x:alignment horizontal="center" wrapText="0"/>
    </x:xf>
    <x:xf numFmtId="202" fontId="0" fillId="0" borderId="19" xfId="0" applyNumberFormat="1" applyFont="1" applyFill="1" applyBorder="1" applyAlignment="1">
      <x:alignment wrapText="0"/>
    </x:xf>
    <x:xf numFmtId="202" fontId="0" fillId="0" borderId="20" xfId="0" applyNumberFormat="1" applyFont="1" applyFill="1" applyBorder="1" applyAlignment="1">
      <x:alignment wrapText="0"/>
    </x:xf>
    <x:xf numFmtId="0" fontId="4" fillId="0" borderId="28" xfId="0" applyNumberFormat="1" applyFont="1" applyFill="1" applyBorder="1" applyAlignment="1">
      <x:alignment wrapText="0"/>
    </x:xf>
    <x:xf numFmtId="207" fontId="0" fillId="0" borderId="17" xfId="0" applyNumberFormat="1" applyFont="1" applyFill="1" applyBorder="1" applyAlignment="1">
      <x:alignment wrapText="0"/>
    </x:xf>
    <x:xf numFmtId="207" fontId="0" fillId="0" borderId="19" xfId="0" applyNumberFormat="1" applyFont="1" applyFill="1" applyBorder="1" applyAlignment="1">
      <x:alignment wrapText="0"/>
    </x:xf>
    <x:xf numFmtId="0" fontId="9" borderId="18" xfId="0" applyNumberFormat="1" applyFont="1" applyFill="0" applyBorder="1" applyAlignment="1">
      <x:alignment wrapText="0"/>
    </x:xf>
    <x:xf numFmtId="0" fontId="9" borderId="19" xfId="0" applyNumberFormat="1" applyFont="1" applyFill="0" applyBorder="1" applyAlignment="1">
      <x:alignment wrapText="0"/>
    </x:xf>
    <x:xf numFmtId="0" fontId="9" borderId="20" xfId="0" applyNumberFormat="1" applyFont="1" applyFill="0" applyBorder="1" applyAlignment="1">
      <x:alignment wrapText="0"/>
    </x:xf>
    <x:xf numFmtId="0" fontId="3" borderId="3" xfId="0" applyNumberFormat="1" applyFont="1" applyFill="0" applyBorder="1" applyAlignment="1">
      <x:alignment wrapText="1"/>
    </x:xf>
    <x:xf numFmtId="0" fontId="4" borderId="15" xfId="0" applyNumberFormat="1" applyFont="1" applyFill="0" applyBorder="1" applyAlignment="1">
      <x:alignment horizontal="center" wrapText="1"/>
    </x:xf>
  </x:cellXfs>
  <x:cellStyles count="1">
    <x:cellStyle name="Normal" xfId="0"/>
  </x:cellStyles>
  <x:dxfs count="6">
    <x:dxf>
      <x:font>
        <x:b/>
        <x:color rgb="FF166534"/>
      </x:font>
    </x:dxf>
    <x:dxf>
      <x:font>
        <x:b/>
        <x:color rgb="FFFFFFFF"/>
      </x:font>
    </x:dxf>
    <x:dxf>
      <x:font>
        <x:b/>
        <x:color rgb="FF166534"/>
      </x:font>
    </x:dxf>
    <x:dxf>
      <x:font>
        <x:b/>
        <x:color rgb="FFFFFFFF"/>
      </x:font>
    </x:dxf>
    <x:dxf>
      <x:font>
        <x:b/>
        <x:color rgb="FF166534"/>
      </x:font>
    </x:dxf>
    <x:dxf>
      <x:font>
        <x:b/>
        <x:color rgb="FFFFFFF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f74c1362c44e4" /><Relationship Type="http://schemas.openxmlformats.org/officeDocument/2006/relationships/theme" Target="/xl/theme/theme1.xml" Id="R4a9b6c5f6c904379" /><Relationship Type="http://schemas.openxmlformats.org/officeDocument/2006/relationships/sharedStrings" Target="/xl/sharedStrings.xml" Id="R122d2041943e4ffa" /><Relationship Type="http://schemas.openxmlformats.org/officeDocument/2006/relationships/worksheet" Target="/xl/worksheets/sheet1.xml" Id="R19ef25437cc349d7" /><Relationship Type="http://schemas.openxmlformats.org/officeDocument/2006/relationships/worksheet" Target="/xl/worksheets/sheet2.xml" Id="R340352f463a54e28" /><Relationship Type="http://schemas.openxmlformats.org/officeDocument/2006/relationships/worksheet" Target="/xl/worksheets/sheet3.xml" Id="R4cb551ed057643c5" /><Relationship Type="http://schemas.openxmlformats.org/officeDocument/2006/relationships/worksheet" Target="/xl/worksheets/sheet4.xml" Id="R917a4823f8874916" /><Relationship Type="http://schemas.openxmlformats.org/officeDocument/2006/relationships/worksheet" Target="/xl/worksheets/sheet5.xml" Id="R432ed8edc80a4b8c" /><Relationship Type="http://schemas.openxmlformats.org/officeDocument/2006/relationships/worksheet" Target="/xl/worksheets/sheet6.xml" Id="R806eabd9985946b3" /><Relationship Type="http://schemas.openxmlformats.org/officeDocument/2006/relationships/worksheet" Target="/xl/worksheets/sheet7.xml" Id="R01532f23873a45d1" /><Relationship Type="http://schemas.openxmlformats.org/officeDocument/2006/relationships/worksheet" Target="/xl/worksheets/sheet8.xml" Id="Ra47cfaf8f7ac434a" /><Relationship Type="http://schemas.microsoft.com/office/2017/10/relationships/person" Target="/xl/persons/person.xml" Id="R4caea390eb254c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570f59a0d94bdf" /><Relationship Type="http://schemas.openxmlformats.org/officeDocument/2006/relationships/chart" Target="/xl/drawings/charts/chart2.xml" Id="R58fdebbe96ae42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Trend ($mm)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'Cover'!$J$24:$J$33</c:f>
              <c:strCache>
                <c:ptCount val="0"/>
              </c:strCache>
            </c:strRef>
          </c:cat>
          <c:val>
            <c:numRef>
              <c:f>'Cover'!$K$24:$K$33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Unlevered FCF ($mm)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Unlevered FCF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'Cover'!$M$24:$M$33</c:f>
              <c:strCache>
                <c:ptCount val="0"/>
              </c:strCache>
            </c:strRef>
          </c:cat>
          <c:val>
            <c:numRef>
              <c:f>'Cover'!$N$24:$N$33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570f59a0d94bdf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debbe96ae42c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E039658-4923-4CDA-B2C4-A003C717FC1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2" dT="2026-06-25T08:48:52.412" personId="{1E039658-4923-4CDA-B2C4-A003C717FC1E}" id="{A68E9FD4-C679-EC7C-340D-48DF525A920D}">
    <xltc:text>Source: user input or latest company filings / market data. Placeholder value included for template functionality.</xltc:text>
  </xltc:threadedComment>
  <xltc:threadedComment ref="B13" dT="2026-06-25T08:48:52.415" personId="{1E039658-4923-4CDA-B2C4-A003C717FC1E}" id="{9D390E4A-B1FF-C4FB-03BF-BCC19A771267}">
    <xltc:text>Source: user input or latest company filings / market data. Placeholder value included for template functionality.</xltc:text>
  </xltc:threadedComment>
  <xltc:threadedComment ref="B15" dT="2026-06-25T08:48:52.415" personId="{1E039658-4923-4CDA-B2C4-A003C717FC1E}" id="{063587E7-F741-3E98-ECC5-7A945581C6B1}">
    <xltc:text>Source: user input or latest company filings / market data. Placeholder value included for template functionality.</xltc:text>
  </xltc:threadedComment>
  <xltc:threadedComment ref="B16" dT="2026-06-25T08:48:52.415" personId="{1E039658-4923-4CDA-B2C4-A003C717FC1E}" id="{F09E8D2A-DED8-A9B9-C832-D409CA69C031}">
    <xltc:text>Source: user input or latest company filings / market data. Placeholder value included for template functionality.</xltc:text>
  </xltc:threadedComment>
  <xltc:threadedComment ref="B23" dT="2026-06-25T08:48:52.416" personId="{1E039658-4923-4CDA-B2C4-A003C717FC1E}" id="{DE504014-32A3-4A68-A3BB-94CDC48C7A6B}">
    <xltc:text>Source: user input or latest company filings / market data. Placeholder value included for template functionality.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1b5b3635004c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7843316e63a4e50" /><Relationship Type="http://schemas.openxmlformats.org/officeDocument/2006/relationships/vmlDrawing" Target="/xl/drawings/vmldrawing.vml" Id="R82c4fd7fe04240e3" /><Relationship Type="http://schemas.microsoft.com/office/2017/10/relationships/threadedComment" Target="/xl/threadedcomments/threadedcomment.xml" Id="Reaaed737ecbd48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25" hidden="0" customWidth="1"/>
    <x:col min="7" max="7" width="14" hidden="0" customWidth="1"/>
    <x:col min="8" max="8" width="25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</x:cols>
  <x:sheetData>
    <x:row r="1" ht="28" customHeight="1">
      <x:c r="A1" s="130" t="str">
        <x:v>Company Financial Analysis Workbook</x:v>
      </x:c>
      <x:c r="B1" s="130"/>
      <x:c r="C1" s="130"/>
      <x:c r="D1" s="130"/>
      <x:c r="E1" s="130"/>
      <x:c r="F1" s="130"/>
      <x:c r="G1" s="130"/>
      <x:c r="H1" s="130"/>
      <x:c r="I1" s="131"/>
      <x:c r="J1" s="131"/>
      <x:c r="K1" s="131"/>
      <x:c r="L1" s="131"/>
      <x:c r="M1" s="132"/>
      <x:c r="N1" s="132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  <x:c r="N2" s="132"/>
    </x:row>
    <x:row r="3" ht="24" customHeight="1">
      <x:c r="A3" s="6" t="str">
        <x:v>Workbook purpose</x:v>
      </x:c>
      <x:c r="B3" s="6" t="str">
        <x:v>Analyze historical financials, forecast operating performance, run a DCF valuation, test sensitivities, and surface model checks.</x:v>
      </x:c>
      <x:c r="C3" s="6"/>
      <x:c r="D3" s="6"/>
      <x:c r="E3" s="6"/>
      <x:c r="F3" s="6"/>
      <x:c r="G3" s="6"/>
      <x:c r="H3" s="6"/>
      <x:c r="I3" s="132"/>
      <x:c r="J3" s="132"/>
      <x:c r="K3" s="132"/>
      <x:c r="L3" s="132"/>
      <x:c r="M3" s="132"/>
      <x:c r="N3" s="132"/>
    </x:row>
    <x:row r="4">
      <x:c r="A4" s="132"/>
      <x:c r="B4" s="132"/>
      <x:c r="C4" s="132"/>
      <x:c r="D4" s="132"/>
      <x:c r="E4" s="132"/>
      <x:c r="F4" s="132"/>
      <x:c r="G4" s="132"/>
      <x:c r="H4" s="132"/>
      <x:c r="I4" s="132"/>
      <x:c r="J4" s="132"/>
      <x:c r="K4" s="132"/>
      <x:c r="L4" s="132"/>
      <x:c r="M4" s="132"/>
      <x:c r="N4" s="132"/>
    </x:row>
    <x:row r="5">
      <x:c r="A5" s="133" t="str">
        <x:v>Key Outputs</x:v>
      </x:c>
      <x:c r="B5" s="134"/>
      <x:c r="C5" s="134"/>
      <x:c r="D5" s="134"/>
      <x:c r="E5" s="134"/>
      <x:c r="F5" s="134"/>
      <x:c r="G5" s="134"/>
      <x:c r="H5" s="135"/>
      <x:c r="I5" s="132"/>
      <x:c r="J5" s="132"/>
      <x:c r="K5" s="132"/>
      <x:c r="L5" s="132"/>
      <x:c r="M5" s="132"/>
      <x:c r="N5" s="132"/>
    </x:row>
    <x:row r="6">
      <x:c r="A6" s="136" t="str">
        <x:v>Company</x:v>
      </x:c>
      <x:c r="B6" s="137" t="str">
        <x:v>Scenario</x:v>
      </x:c>
      <x:c r="C6" s="137" t="str">
        <x:v>Revenue CAGR</x:v>
      </x:c>
      <x:c r="D6" s="137" t="str">
        <x:v>Terminal EBITDA Margin</x:v>
      </x:c>
      <x:c r="E6" s="137" t="str">
        <x:v>Enterprise Value</x:v>
      </x:c>
      <x:c r="F6" s="137" t="str">
        <x:v>Equity Value</x:v>
      </x:c>
      <x:c r="G6" s="137" t="str">
        <x:v>Implied Share Price</x:v>
      </x:c>
      <x:c r="H6" s="138" t="str">
        <x:v>Model Status</x:v>
      </x:c>
      <x:c r="I6" s="132"/>
      <x:c r="J6" s="132"/>
      <x:c r="K6" s="132"/>
      <x:c r="L6" s="132"/>
      <x:c r="M6" s="132"/>
      <x:c r="N6" s="132"/>
    </x:row>
    <x:row r="7">
      <x:c r="A7" s="139" t="str">
        <x:f>'Assumptions'!B4</x:f>
        <x:v>Company</x:v>
      </x:c>
      <x:c r="B7" s="139" t="str">
        <x:f>'Assumptions'!B8</x:f>
        <x:v>Base</x:v>
      </x:c>
      <x:c r="C7" s="140" t="n">
        <x:f>'Forecast Model'!K23</x:f>
        <x:v>0.049976189828278006</x:v>
      </x:c>
      <x:c r="D7" s="140" t="n">
        <x:f>'Forecast Model'!K24</x:f>
        <x:v>0.18</x:v>
      </x:c>
      <x:c r="E7" s="141" t="n">
        <x:f>'Valuation'!B15</x:f>
        <x:v>25476.432472746466</x:v>
      </x:c>
      <x:c r="F7" s="141" t="n">
        <x:f>'Valuation'!B17</x:f>
        <x:v>22976.432472746466</x:v>
      </x:c>
      <x:c r="G7" s="142" t="n">
        <x:f>'Valuation'!B19</x:f>
        <x:v>54.7057916017773</x:v>
      </x:c>
      <x:c r="H7" s="139" t="str">
        <x:f>'Checks'!F4</x:f>
        <x:v>Review</x:v>
      </x:c>
      <x:c r="I7" s="132"/>
      <x:c r="J7" s="132"/>
      <x:c r="K7" s="132"/>
      <x:c r="L7" s="132"/>
      <x:c r="M7" s="132"/>
      <x:c r="N7" s="132"/>
    </x:row>
    <x:row r="8" ht="24" customHeight="1">
      <x:c r="A8" s="132"/>
      <x:c r="B8" s="132"/>
      <x:c r="C8" s="132"/>
      <x:c r="D8" s="132"/>
      <x:c r="E8" s="132"/>
      <x:c r="F8" s="132"/>
      <x:c r="G8" s="132"/>
      <x:c r="H8" s="132"/>
      <x:c r="I8" s="132"/>
      <x:c r="J8" s="132"/>
      <x:c r="K8" s="132"/>
      <x:c r="L8" s="132"/>
      <x:c r="M8" s="132"/>
      <x:c r="N8" s="132"/>
    </x:row>
    <x:row r="9">
      <x:c r="A9" s="132"/>
      <x:c r="B9" s="132"/>
      <x:c r="C9" s="132"/>
      <x:c r="D9" s="132"/>
      <x:c r="E9" s="132"/>
      <x:c r="F9" s="132"/>
      <x:c r="G9" s="132"/>
      <x:c r="H9" s="132"/>
      <x:c r="I9" s="132"/>
      <x:c r="J9" s="132"/>
      <x:c r="K9" s="132"/>
      <x:c r="L9" s="132"/>
      <x:c r="M9" s="132"/>
      <x:c r="N9" s="132"/>
    </x:row>
    <x:row r="10">
      <x:c r="A10" s="133" t="str">
        <x:v>Workbook Map</x:v>
      </x:c>
      <x:c r="B10" s="134"/>
      <x:c r="C10" s="134"/>
      <x:c r="D10" s="134"/>
      <x:c r="E10" s="134"/>
      <x:c r="F10" s="134"/>
      <x:c r="G10" s="134"/>
      <x:c r="H10" s="135"/>
      <x:c r="I10" s="132"/>
      <x:c r="J10" s="132"/>
      <x:c r="K10" s="132"/>
      <x:c r="L10" s="132"/>
      <x:c r="M10" s="132"/>
      <x:c r="N10" s="132"/>
    </x:row>
    <x:row r="11">
      <x:c r="A11" s="136" t="str">
        <x:v>Sheet</x:v>
      </x:c>
      <x:c r="B11" s="138" t="str">
        <x:v>Use</x:v>
      </x:c>
      <x:c r="C11" s="132"/>
      <x:c r="D11" s="132"/>
      <x:c r="E11" s="132"/>
      <x:c r="F11" s="132"/>
      <x:c r="G11" s="132"/>
      <x:c r="H11" s="132"/>
      <x:c r="I11" s="132"/>
      <x:c r="J11" s="132"/>
      <x:c r="K11" s="132"/>
      <x:c r="L11" s="132"/>
      <x:c r="M11" s="132"/>
      <x:c r="N11" s="132"/>
    </x:row>
    <x:row r="12">
      <x:c r="A12" s="143" t="str">
        <x:v>Assumptions</x:v>
      </x:c>
      <x:c r="B12" s="144" t="str">
        <x:v>Company setup, scenario controls, valuation assumptions, and forecast drivers.</x:v>
      </x:c>
      <x:c r="C12" s="132"/>
      <x:c r="D12" s="132"/>
      <x:c r="E12" s="132"/>
      <x:c r="F12" s="132"/>
      <x:c r="G12" s="132"/>
      <x:c r="H12" s="132"/>
      <x:c r="I12" s="132"/>
      <x:c r="J12" s="132"/>
      <x:c r="K12" s="132"/>
      <x:c r="L12" s="132"/>
      <x:c r="M12" s="132"/>
      <x:c r="N12" s="132"/>
    </x:row>
    <x:row r="13">
      <x:c r="A13" s="145" t="str">
        <x:v>Historical Financials</x:v>
      </x:c>
      <x:c r="B13" s="146" t="str">
        <x:v>Paste reported annual financials and source IDs.</x:v>
      </x:c>
      <x:c r="C13" s="132"/>
      <x:c r="D13" s="132"/>
      <x:c r="E13" s="132"/>
      <x:c r="F13" s="132"/>
      <x:c r="G13" s="132"/>
      <x:c r="H13" s="132"/>
      <x:c r="I13" s="132"/>
      <x:c r="J13" s="132"/>
      <x:c r="K13" s="132"/>
      <x:c r="L13" s="132"/>
      <x:c r="M13" s="132"/>
      <x:c r="N13" s="132"/>
    </x:row>
    <x:row r="14">
      <x:c r="A14" s="145" t="str">
        <x:v>Forecast Model / Valuation</x:v>
      </x:c>
      <x:c r="B14" s="146" t="str">
        <x:v>Formula-driven forecast, unlevered FCF, DCF bridge, and sensitivity outputs.</x:v>
      </x:c>
      <x:c r="C14" s="132"/>
      <x:c r="D14" s="132"/>
      <x:c r="E14" s="132"/>
      <x:c r="F14" s="132"/>
      <x:c r="G14" s="132"/>
      <x:c r="H14" s="132"/>
      <x:c r="I14" s="132"/>
      <x:c r="J14" s="132"/>
      <x:c r="K14" s="132"/>
      <x:c r="L14" s="132"/>
      <x:c r="M14" s="132"/>
      <x:c r="N14" s="132"/>
    </x:row>
    <x:row r="15">
      <x:c r="A15" s="147" t="str">
        <x:v>Checks / Sources Audit</x:v>
      </x:c>
      <x:c r="B15" s="148" t="str">
        <x:v>Input completeness, calculation sanity checks, and source documentation.</x:v>
      </x:c>
      <x:c r="C15" s="132"/>
      <x:c r="D15" s="132"/>
      <x:c r="E15" s="132"/>
      <x:c r="F15" s="132"/>
      <x:c r="G15" s="132"/>
      <x:c r="H15" s="132"/>
      <x:c r="I15" s="132"/>
      <x:c r="J15" s="132"/>
      <x:c r="K15" s="132"/>
      <x:c r="L15" s="132"/>
      <x:c r="M15" s="132"/>
      <x:c r="N15" s="132"/>
    </x:row>
    <x:row r="16">
      <x:c r="A16" s="132"/>
      <x:c r="B16" s="132"/>
      <x:c r="C16" s="132"/>
      <x:c r="D16" s="132"/>
      <x:c r="E16" s="132"/>
      <x:c r="F16" s="132"/>
      <x:c r="G16" s="132"/>
      <x:c r="H16" s="132"/>
      <x:c r="I16" s="132"/>
      <x:c r="J16" s="132"/>
      <x:c r="K16" s="132"/>
      <x:c r="L16" s="132"/>
      <x:c r="M16" s="132"/>
      <x:c r="N16" s="132"/>
    </x:row>
    <x:row r="17" ht="24" customHeight="1">
      <x:c r="A17" s="133" t="str">
        <x:v>Formatting Legend</x:v>
      </x:c>
      <x:c r="B17" s="134"/>
      <x:c r="C17" s="134"/>
      <x:c r="D17" s="134"/>
      <x:c r="E17" s="134"/>
      <x:c r="F17" s="134"/>
      <x:c r="G17" s="134"/>
      <x:c r="H17" s="135"/>
      <x:c r="I17" s="132"/>
      <x:c r="J17" s="132"/>
      <x:c r="K17" s="132"/>
      <x:c r="L17" s="132"/>
      <x:c r="M17" s="132"/>
      <x:c r="N17" s="132"/>
    </x:row>
    <x:row r="18">
      <x:c r="A18" s="149" t="str">
        <x:v>Blue text / yellow fill</x:v>
      </x:c>
      <x:c r="B18" s="149" t="str">
        <x:v>Editable inputs</x:v>
      </x:c>
      <x:c r="C18" s="150" t="str">
        <x:v>Black text</x:v>
      </x:c>
      <x:c r="D18" s="150" t="str">
        <x:v>Formulas</x:v>
      </x:c>
      <x:c r="E18" s="139" t="str">
        <x:v>Green text</x:v>
      </x:c>
      <x:c r="F18" s="139" t="str">
        <x:v>Workbook links</x:v>
      </x:c>
      <x:c r="G18" s="151" t="str">
        <x:v>Red text</x:v>
      </x:c>
      <x:c r="H18" s="151" t="str">
        <x:v>External workbook links</x:v>
      </x:c>
      <x:c r="I18" s="132"/>
      <x:c r="J18" s="132"/>
      <x:c r="K18" s="132"/>
      <x:c r="L18" s="132"/>
      <x:c r="M18" s="132"/>
      <x:c r="N18" s="132"/>
    </x:row>
    <x:row r="19">
      <x:c r="A19" s="132"/>
      <x:c r="B19" s="132"/>
      <x:c r="C19" s="132"/>
      <x:c r="D19" s="132"/>
      <x:c r="E19" s="132"/>
      <x:c r="F19" s="132"/>
      <x:c r="G19" s="132"/>
      <x:c r="H19" s="132"/>
      <x:c r="I19" s="132"/>
      <x:c r="J19" s="132"/>
      <x:c r="K19" s="132"/>
      <x:c r="L19" s="132"/>
      <x:c r="M19" s="132"/>
      <x:c r="N19" s="132"/>
    </x:row>
    <x:row r="20">
      <x:c r="A20" s="152" t="str">
        <x:v>Source note</x:v>
      </x:c>
      <x:c r="B20" s="152" t="str">
        <x:v>Illustrative placeholder data is included so formulas and charts compute. Replace with company filings or exports before relying on outputs.</x:v>
      </x:c>
      <x:c r="C20" s="152"/>
      <x:c r="D20" s="152"/>
      <x:c r="E20" s="152"/>
      <x:c r="F20" s="152"/>
      <x:c r="G20" s="152"/>
      <x:c r="H20" s="152"/>
      <x:c r="I20" s="132"/>
      <x:c r="J20" s="132"/>
      <x:c r="K20" s="132"/>
      <x:c r="L20" s="132"/>
      <x:c r="M20" s="132"/>
      <x:c r="N20" s="132"/>
    </x:row>
    <x:row r="21">
      <x:c r="A21" s="132"/>
      <x:c r="B21" s="132"/>
      <x:c r="C21" s="132"/>
      <x:c r="D21" s="132"/>
      <x:c r="E21" s="132"/>
      <x:c r="F21" s="132"/>
      <x:c r="G21" s="132"/>
      <x:c r="H21" s="132"/>
      <x:c r="I21" s="132"/>
      <x:c r="J21" s="132"/>
      <x:c r="K21" s="132"/>
      <x:c r="L21" s="132"/>
      <x:c r="M21" s="132"/>
      <x:c r="N21" s="132"/>
    </x:row>
    <x:row r="22">
      <x:c r="A22" s="132"/>
      <x:c r="B22" s="132"/>
      <x:c r="C22" s="132"/>
      <x:c r="D22" s="132"/>
      <x:c r="E22" s="132"/>
      <x:c r="F22" s="132"/>
      <x:c r="G22" s="132"/>
      <x:c r="H22" s="132"/>
      <x:c r="I22" s="132"/>
      <x:c r="J22" s="132"/>
      <x:c r="K22" s="132"/>
      <x:c r="L22" s="132"/>
      <x:c r="M22" s="132"/>
      <x:c r="N22" s="132"/>
    </x:row>
    <x:row r="23">
      <x:c r="A23" s="132"/>
      <x:c r="B23" s="132"/>
      <x:c r="C23" s="132"/>
      <x:c r="D23" s="132"/>
      <x:c r="E23" s="132"/>
      <x:c r="F23" s="132"/>
      <x:c r="G23" s="132"/>
      <x:c r="H23" s="132"/>
      <x:c r="I23" s="132"/>
      <x:c r="J23" s="136" t="str">
        <x:v>Year</x:v>
      </x:c>
      <x:c r="K23" s="137" t="str">
        <x:v>Revenue</x:v>
      </x:c>
      <x:c r="L23" s="138" t="str">
        <x:v>Unlevered FCF</x:v>
      </x:c>
      <x:c r="M23" s="136" t="str">
        <x:v>Year</x:v>
      </x:c>
      <x:c r="N23" s="138" t="str">
        <x:v>Unlevered FCF</x:v>
      </x:c>
    </x:row>
    <x:row r="24">
      <x:c r="A24" s="132"/>
      <x:c r="B24" s="132"/>
      <x:c r="C24" s="132"/>
      <x:c r="D24" s="132"/>
      <x:c r="E24" s="132"/>
      <x:c r="F24" s="132"/>
      <x:c r="G24" s="132"/>
      <x:c r="H24" s="132"/>
      <x:c r="I24" s="132"/>
      <x:c r="J24" s="132" t="str">
        <x:v>2022A</x:v>
      </x:c>
      <x:c r="K24" s="141" t="n">
        <x:f>'Forecast Model'!B5</x:f>
        <x:v>12000</x:v>
      </x:c>
      <x:c r="L24" s="141" t="n">
        <x:f>'Forecast Model'!B21</x:f>
        <x:v>2334</x:v>
      </x:c>
      <x:c r="M24" s="132" t="str">
        <x:v>2022A</x:v>
      </x:c>
      <x:c r="N24" s="141" t="n">
        <x:f>'Forecast Model'!B21</x:f>
        <x:v>2334</x:v>
      </x:c>
    </x:row>
    <x:row r="25">
      <x:c r="A25" s="132"/>
      <x:c r="B25" s="132"/>
      <x:c r="C25" s="132"/>
      <x:c r="D25" s="132"/>
      <x:c r="E25" s="132"/>
      <x:c r="F25" s="132"/>
      <x:c r="G25" s="132"/>
      <x:c r="H25" s="132"/>
      <x:c r="I25" s="132"/>
      <x:c r="J25" s="132" t="str">
        <x:v>2023A</x:v>
      </x:c>
      <x:c r="K25" s="141" t="n">
        <x:f>'Forecast Model'!C5</x:f>
        <x:v>13250</x:v>
      </x:c>
      <x:c r="L25" s="141" t="n">
        <x:f>'Forecast Model'!C21</x:f>
        <x:v>2459.25</x:v>
      </x:c>
      <x:c r="M25" s="132" t="str">
        <x:v>2023A</x:v>
      </x:c>
      <x:c r="N25" s="141" t="n">
        <x:f>'Forecast Model'!C21</x:f>
        <x:v>2459.25</x:v>
      </x:c>
    </x:row>
    <x:row r="26">
      <x:c r="A26" s="132"/>
      <x:c r="B26" s="132"/>
      <x:c r="C26" s="132"/>
      <x:c r="D26" s="132"/>
      <x:c r="E26" s="132"/>
      <x:c r="F26" s="132"/>
      <x:c r="G26" s="132"/>
      <x:c r="H26" s="132"/>
      <x:c r="I26" s="132"/>
      <x:c r="J26" s="132" t="str">
        <x:v>2024A</x:v>
      </x:c>
      <x:c r="K26" s="141" t="n">
        <x:f>'Forecast Model'!D5</x:f>
        <x:v>14600</x:v>
      </x:c>
      <x:c r="L26" s="141" t="n">
        <x:f>'Forecast Model'!D21</x:f>
        <x:v>2697.75</x:v>
      </x:c>
      <x:c r="M26" s="132" t="str">
        <x:v>2024A</x:v>
      </x:c>
      <x:c r="N26" s="141" t="n">
        <x:f>'Forecast Model'!D21</x:f>
        <x:v>2697.75</x:v>
      </x:c>
    </x:row>
    <x:row r="27">
      <x:c r="A27" s="132"/>
      <x:c r="B27" s="132"/>
      <x:c r="C27" s="132"/>
      <x:c r="D27" s="132"/>
      <x:c r="E27" s="132"/>
      <x:c r="F27" s="132"/>
      <x:c r="G27" s="132"/>
      <x:c r="H27" s="132"/>
      <x:c r="I27" s="132"/>
      <x:c r="J27" s="132" t="str">
        <x:v>2025A</x:v>
      </x:c>
      <x:c r="K27" s="141" t="n">
        <x:f>'Forecast Model'!E5</x:f>
        <x:v>15900</x:v>
      </x:c>
      <x:c r="L27" s="141" t="n">
        <x:f>'Forecast Model'!E21</x:f>
        <x:v>3033.5</x:v>
      </x:c>
      <x:c r="M27" s="132" t="str">
        <x:v>2025A</x:v>
      </x:c>
      <x:c r="N27" s="141" t="n">
        <x:f>'Forecast Model'!E21</x:f>
        <x:v>3033.5</x:v>
      </x:c>
    </x:row>
    <x:row r="28">
      <x:c r="A28" s="132"/>
      <x:c r="B28" s="132"/>
      <x:c r="C28" s="132"/>
      <x:c r="D28" s="132"/>
      <x:c r="E28" s="132"/>
      <x:c r="F28" s="132"/>
      <x:c r="G28" s="132"/>
      <x:c r="H28" s="132"/>
      <x:c r="I28" s="132"/>
      <x:c r="J28" s="132" t="str">
        <x:v>2026A</x:v>
      </x:c>
      <x:c r="K28" s="141" t="n">
        <x:f>'Forecast Model'!F5</x:f>
        <x:v>17100</x:v>
      </x:c>
      <x:c r="L28" s="141" t="n">
        <x:f>'Forecast Model'!F21</x:f>
        <x:v>3402</x:v>
      </x:c>
      <x:c r="M28" s="132" t="str">
        <x:v>2026A</x:v>
      </x:c>
      <x:c r="N28" s="141" t="n">
        <x:f>'Forecast Model'!F21</x:f>
        <x:v>3402</x:v>
      </x:c>
    </x:row>
    <x:row r="29">
      <x:c r="A29" s="132"/>
      <x:c r="B29" s="132"/>
      <x:c r="C29" s="132"/>
      <x:c r="D29" s="132"/>
      <x:c r="E29" s="132"/>
      <x:c r="F29" s="132"/>
      <x:c r="G29" s="132"/>
      <x:c r="H29" s="132"/>
      <x:c r="I29" s="132"/>
      <x:c r="J29" s="132" t="str">
        <x:v>2027E</x:v>
      </x:c>
      <x:c r="K29" s="141" t="n">
        <x:f>'Forecast Model'!G5</x:f>
        <x:v>18126</x:v>
      </x:c>
      <x:c r="L29" s="141" t="n">
        <x:f>'Forecast Model'!G21</x:f>
        <x:v>1621.3809599999995</x:v>
      </x:c>
      <x:c r="M29" s="132" t="str">
        <x:v>2027E</x:v>
      </x:c>
      <x:c r="N29" s="141" t="n">
        <x:f>'Forecast Model'!G21</x:f>
        <x:v>1621.3809599999995</x:v>
      </x:c>
    </x:row>
    <x:row r="30">
      <x:c r="A30" s="132"/>
      <x:c r="B30" s="132"/>
      <x:c r="C30" s="132"/>
      <x:c r="D30" s="132"/>
      <x:c r="E30" s="132"/>
      <x:c r="F30" s="132"/>
      <x:c r="G30" s="132"/>
      <x:c r="H30" s="132"/>
      <x:c r="I30" s="132"/>
      <x:c r="J30" s="132" t="str">
        <x:v>2028E</x:v>
      </x:c>
      <x:c r="K30" s="141" t="n">
        <x:f>'Forecast Model'!H5</x:f>
        <x:v>19122.93</x:v>
      </x:c>
      <x:c r="L30" s="141" t="n">
        <x:f>'Forecast Model'!H21</x:f>
        <x:v>1720.3894128</x:v>
      </x:c>
      <x:c r="M30" s="132" t="str">
        <x:v>2028E</x:v>
      </x:c>
      <x:c r="N30" s="141" t="n">
        <x:f>'Forecast Model'!H21</x:f>
        <x:v>1720.3894128</x:v>
      </x:c>
    </x:row>
    <x:row r="31">
      <x:c r="A31" s="132"/>
      <x:c r="B31" s="132"/>
      <x:c r="C31" s="132"/>
      <x:c r="D31" s="132"/>
      <x:c r="E31" s="132"/>
      <x:c r="F31" s="132"/>
      <x:c r="G31" s="132"/>
      <x:c r="H31" s="132"/>
      <x:c r="I31" s="132"/>
      <x:c r="J31" s="132" t="str">
        <x:v>2029E</x:v>
      </x:c>
      <x:c r="K31" s="141" t="n">
        <x:f>'Forecast Model'!I5</x:f>
        <x:v>20079.076500000003</x:v>
      </x:c>
      <x:c r="L31" s="141" t="n">
        <x:f>'Forecast Model'!I21</x:f>
        <x:v>1816.8313334399995</x:v>
      </x:c>
      <x:c r="M31" s="132" t="str">
        <x:v>2029E</x:v>
      </x:c>
      <x:c r="N31" s="141" t="n">
        <x:f>'Forecast Model'!I21</x:f>
        <x:v>1816.8313334399995</x:v>
      </x:c>
    </x:row>
    <x:row r="32">
      <x:c r="A32" s="132"/>
      <x:c r="B32" s="132"/>
      <x:c r="C32" s="132"/>
      <x:c r="D32" s="132"/>
      <x:c r="E32" s="132"/>
      <x:c r="F32" s="132"/>
      <x:c r="G32" s="132"/>
      <x:c r="H32" s="132"/>
      <x:c r="I32" s="132"/>
      <x:c r="J32" s="132" t="str">
        <x:v>2030E</x:v>
      </x:c>
      <x:c r="K32" s="141" t="n">
        <x:f>'Forecast Model'!J5</x:f>
        <x:v>20982.6349425</x:v>
      </x:c>
      <x:c r="L32" s="141" t="n">
        <x:f>'Forecast Model'!J21</x:f>
        <x:v>1909.5844281948</x:v>
      </x:c>
      <x:c r="M32" s="132" t="str">
        <x:v>2030E</x:v>
      </x:c>
      <x:c r="N32" s="141" t="n">
        <x:f>'Forecast Model'!J21</x:f>
        <x:v>1909.5844281948</x:v>
      </x:c>
    </x:row>
    <x:row r="33">
      <x:c r="A33" s="132"/>
      <x:c r="B33" s="132"/>
      <x:c r="C33" s="132"/>
      <x:c r="D33" s="132"/>
      <x:c r="E33" s="132"/>
      <x:c r="F33" s="132"/>
      <x:c r="G33" s="132"/>
      <x:c r="H33" s="132"/>
      <x:c r="I33" s="132"/>
      <x:c r="J33" s="132" t="str">
        <x:v>2031E</x:v>
      </x:c>
      <x:c r="K33" s="141" t="n">
        <x:f>'Forecast Model'!K5</x:f>
        <x:v>21821.940340200003</x:v>
      </x:c>
      <x:c r="L33" s="141" t="n">
        <x:f>'Forecast Model'!K21</x:f>
        <x:v>1997.5132743100921</x:v>
      </x:c>
      <x:c r="M33" s="132" t="str">
        <x:v>2031E</x:v>
      </x:c>
      <x:c r="N33" s="141" t="n">
        <x:f>'Forecast Model'!K21</x:f>
        <x:v>1997.5132743100921</x:v>
      </x:c>
    </x:row>
  </x:sheetData>
  <x:conditionalFormatting sqref="H7:H7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  <x:drawing xmlns:r="http://schemas.openxmlformats.org/officeDocument/2006/relationships" r:id="R331b5b3635004c2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28" customHeight="1">
      <x:c r="A1" s="130" t="str">
        <x:v>Assumptions</x:v>
      </x:c>
      <x:c r="B1" s="130"/>
      <x:c r="C1" s="130"/>
      <x:c r="D1" s="130"/>
      <x:c r="E1" s="130"/>
      <x:c r="F1" s="130"/>
      <x:c r="G1" s="131"/>
      <x:c r="H1" s="131"/>
      <x:c r="I1" s="131"/>
      <x:c r="J1" s="131"/>
      <x:c r="K1" s="131"/>
      <x:c r="L1" s="131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33" t="str">
        <x:v>Company Setup</x:v>
      </x:c>
      <x:c r="B3" s="134"/>
      <x:c r="C3" s="134"/>
      <x:c r="D3" s="134"/>
      <x:c r="E3" s="134"/>
      <x:c r="F3" s="135"/>
      <x:c r="G3" s="132"/>
      <x:c r="H3" s="132"/>
      <x:c r="I3" s="132"/>
      <x:c r="J3" s="132"/>
      <x:c r="K3" s="132"/>
      <x:c r="L3" s="132"/>
    </x:row>
    <x:row r="4">
      <x:c r="A4" s="136" t="str">
        <x:v>Company Name</x:v>
      </x:c>
      <x:c r="B4" s="137" t="str">
        <x:v>Company</x:v>
      </x:c>
      <x:c r="C4" s="137"/>
      <x:c r="D4" s="137"/>
      <x:c r="E4" s="137"/>
      <x:c r="F4" s="38" t="str">
        <x:v>Replace with target company name</x:v>
      </x:c>
      <x:c r="G4" s="132"/>
      <x:c r="H4" s="132"/>
      <x:c r="I4" s="132"/>
      <x:c r="J4" s="132"/>
      <x:c r="K4" s="132"/>
      <x:c r="L4" s="132"/>
    </x:row>
    <x:row r="5">
      <x:c r="A5" s="132" t="str">
        <x:v>Ticker</x:v>
      </x:c>
      <x:c r="B5" s="149" t="str">
        <x:v>TICKER</x:v>
      </x:c>
      <x:c r="C5" s="132"/>
      <x:c r="D5" s="132"/>
      <x:c r="E5" s="132"/>
      <x:c r="F5" s="6" t="str">
        <x:v>Optional identifier</x:v>
      </x:c>
      <x:c r="G5" s="132"/>
      <x:c r="H5" s="132"/>
      <x:c r="I5" s="132"/>
      <x:c r="J5" s="132"/>
      <x:c r="K5" s="132"/>
      <x:c r="L5" s="132"/>
    </x:row>
    <x:row r="6">
      <x:c r="A6" s="132" t="str">
        <x:v>Currency</x:v>
      </x:c>
      <x:c r="B6" s="149" t="str">
        <x:v>USD</x:v>
      </x:c>
      <x:c r="C6" s="132"/>
      <x:c r="D6" s="132"/>
      <x:c r="E6" s="132"/>
      <x:c r="F6" s="6" t="str">
        <x:v>Workbook amounts are in millions unless noted</x:v>
      </x:c>
      <x:c r="G6" s="132"/>
      <x:c r="H6" s="132"/>
      <x:c r="I6" s="132"/>
      <x:c r="J6" s="132"/>
      <x:c r="K6" s="132"/>
      <x:c r="L6" s="132"/>
    </x:row>
    <x:row r="7">
      <x:c r="A7" s="132" t="str">
        <x:v>Units</x:v>
      </x:c>
      <x:c r="B7" s="149" t="str">
        <x:v>$mm</x:v>
      </x:c>
      <x:c r="C7" s="132"/>
      <x:c r="D7" s="132"/>
      <x:c r="E7" s="132"/>
      <x:c r="F7" s="6" t="str">
        <x:v>Financial statements and valuation outputs</x:v>
      </x:c>
      <x:c r="G7" s="132"/>
      <x:c r="H7" s="132"/>
      <x:c r="I7" s="132"/>
      <x:c r="J7" s="132"/>
      <x:c r="K7" s="132"/>
      <x:c r="L7" s="132"/>
    </x:row>
    <x:row r="8">
      <x:c r="A8" s="132" t="str">
        <x:v>Scenario</x:v>
      </x:c>
      <x:c r="B8" s="149" t="str">
        <x:v>Base</x:v>
      </x:c>
      <x:c r="C8" s="132"/>
      <x:c r="D8" s="132"/>
      <x:c r="E8" s="132"/>
      <x:c r="F8" s="6" t="str">
        <x:v>Use dropdown: Downside / Base / Upside</x:v>
      </x:c>
      <x:c r="G8" s="132"/>
      <x:c r="H8" s="132"/>
      <x:c r="I8" s="132"/>
      <x:c r="J8" s="132"/>
      <x:c r="K8" s="132"/>
      <x:c r="L8" s="132"/>
    </x:row>
    <x:row r="9">
      <x:c r="A9" s="132" t="str">
        <x:v>Valuation Date</x:v>
      </x:c>
      <x:c r="B9" s="153" t="n">
        <x:v>46198</x:v>
      </x:c>
      <x:c r="C9" s="132"/>
      <x:c r="D9" s="132"/>
      <x:c r="E9" s="132"/>
      <x:c r="F9" s="6" t="str">
        <x:v>Update to analysis date</x:v>
      </x:c>
      <x:c r="G9" s="132"/>
      <x:c r="H9" s="132"/>
      <x:c r="I9" s="132"/>
      <x:c r="J9" s="132"/>
      <x:c r="K9" s="132"/>
      <x:c r="L9" s="132"/>
    </x:row>
    <x:row r="10">
      <x:c r="A10" s="132"/>
      <x:c r="B10" s="132"/>
      <x:c r="C10" s="132"/>
      <x:c r="D10" s="132"/>
      <x:c r="E10" s="132"/>
      <x:c r="F10" s="6"/>
      <x:c r="G10" s="132"/>
      <x:c r="H10" s="132"/>
      <x:c r="I10" s="132"/>
      <x:c r="J10" s="132"/>
      <x:c r="K10" s="132"/>
      <x:c r="L10" s="132"/>
    </x:row>
    <x:row r="11">
      <x:c r="A11" s="133" t="str">
        <x:v>Valuation Assumptions</x:v>
      </x:c>
      <x:c r="B11" s="134"/>
      <x:c r="C11" s="134"/>
      <x:c r="D11" s="134"/>
      <x:c r="E11" s="134"/>
      <x:c r="F11" s="206"/>
      <x:c r="G11" s="132"/>
      <x:c r="H11" s="132"/>
      <x:c r="I11" s="132"/>
      <x:c r="J11" s="132"/>
      <x:c r="K11" s="132"/>
      <x:c r="L11" s="132"/>
    </x:row>
    <x:row r="12">
      <x:c r="A12" s="132" t="str">
        <x:v>WACC</x:v>
      </x:c>
      <x:c r="B12" s="154" t="n">
        <x:v>0.095</x:v>
      </x:c>
      <x:c r="C12" s="132"/>
      <x:c r="D12" s="132"/>
      <x:c r="E12" s="132"/>
      <x:c r="F12" s="6" t="str">
        <x:v>Discount rate for unlevered FCF</x:v>
      </x:c>
      <x:c r="G12" s="132"/>
      <x:c r="H12" s="132"/>
      <x:c r="I12" s="132"/>
      <x:c r="J12" s="132"/>
      <x:c r="K12" s="132"/>
      <x:c r="L12" s="132"/>
    </x:row>
    <x:row r="13">
      <x:c r="A13" s="132" t="str">
        <x:v>Terminal Growth</x:v>
      </x:c>
      <x:c r="B13" s="154" t="n">
        <x:v>0.025</x:v>
      </x:c>
      <x:c r="C13" s="132"/>
      <x:c r="D13" s="132"/>
      <x:c r="E13" s="132"/>
      <x:c r="F13" s="6" t="str">
        <x:v>Gordon growth terminal value</x:v>
      </x:c>
      <x:c r="G13" s="132"/>
      <x:c r="H13" s="132"/>
      <x:c r="I13" s="132"/>
      <x:c r="J13" s="132"/>
      <x:c r="K13" s="132"/>
      <x:c r="L13" s="132"/>
    </x:row>
    <x:row r="14">
      <x:c r="A14" s="132" t="str">
        <x:v>Effective Tax Rate</x:v>
      </x:c>
      <x:c r="B14" s="154" t="n">
        <x:v>0.23</x:v>
      </x:c>
      <x:c r="C14" s="132"/>
      <x:c r="D14" s="132"/>
      <x:c r="E14" s="132"/>
      <x:c r="F14" s="6" t="str">
        <x:v>Used in NOPAT calculation</x:v>
      </x:c>
      <x:c r="G14" s="132"/>
      <x:c r="H14" s="132"/>
      <x:c r="I14" s="132"/>
      <x:c r="J14" s="132"/>
      <x:c r="K14" s="132"/>
      <x:c r="L14" s="132"/>
    </x:row>
    <x:row r="15">
      <x:c r="A15" s="132" t="str">
        <x:v>Net Debt / (Cash)</x:v>
      </x:c>
      <x:c r="B15" s="155" t="n">
        <x:v>2500</x:v>
      </x:c>
      <x:c r="C15" s="132"/>
      <x:c r="D15" s="132"/>
      <x:c r="E15" s="132"/>
      <x:c r="F15" s="6" t="str">
        <x:v>Positive value reduces equity value</x:v>
      </x:c>
      <x:c r="G15" s="132"/>
      <x:c r="H15" s="132"/>
      <x:c r="I15" s="132"/>
      <x:c r="J15" s="132"/>
      <x:c r="K15" s="132"/>
      <x:c r="L15" s="132"/>
    </x:row>
    <x:row r="16">
      <x:c r="A16" s="132" t="str">
        <x:v>Diluted Shares Outstanding</x:v>
      </x:c>
      <x:c r="B16" s="155" t="n">
        <x:v>420</x:v>
      </x:c>
      <x:c r="C16" s="132"/>
      <x:c r="D16" s="132"/>
      <x:c r="E16" s="132"/>
      <x:c r="F16" s="6" t="str">
        <x:v>Millions of shares</x:v>
      </x:c>
      <x:c r="G16" s="132"/>
      <x:c r="H16" s="132"/>
      <x:c r="I16" s="132"/>
      <x:c r="J16" s="132"/>
      <x:c r="K16" s="132"/>
      <x:c r="L16" s="132"/>
    </x:row>
    <x:row r="17">
      <x:c r="A17" s="132" t="str">
        <x:v>Mid-Year Convention</x:v>
      </x:c>
      <x:c r="B17" s="149" t="str">
        <x:v>No</x:v>
      </x:c>
      <x:c r="C17" s="132"/>
      <x:c r="D17" s="132"/>
      <x:c r="E17" s="132"/>
      <x:c r="F17" s="6" t="str">
        <x:v>Template uses year-end discounting</x:v>
      </x:c>
      <x:c r="G17" s="132"/>
      <x:c r="H17" s="132"/>
      <x:c r="I17" s="132"/>
      <x:c r="J17" s="132"/>
      <x:c r="K17" s="132"/>
      <x:c r="L17" s="132"/>
    </x:row>
    <x:row r="18">
      <x:c r="A18" s="132" t="str">
        <x:v>Source Data Mode</x:v>
      </x:c>
      <x:c r="B18" s="149" t="str">
        <x:v>Illustrative placeholder</x:v>
      </x:c>
      <x:c r="C18" s="132"/>
      <x:c r="D18" s="132"/>
      <x:c r="E18" s="132"/>
      <x:c r="F18" s="6" t="str">
        <x:v>Replace historicals and sources before investment use</x:v>
      </x:c>
      <x:c r="G18" s="132"/>
      <x:c r="H18" s="132"/>
      <x:c r="I18" s="132"/>
      <x:c r="J18" s="132"/>
      <x:c r="K18" s="132"/>
      <x:c r="L18" s="132"/>
    </x:row>
    <x:row r="19">
      <x:c r="A19" s="132" t="str">
        <x:v>EV/EBITDA Cross-Check Multiple</x:v>
      </x:c>
      <x:c r="B19" s="156" t="n">
        <x:v>10</x:v>
      </x:c>
      <x:c r="C19" s="132"/>
      <x:c r="D19" s="132"/>
      <x:c r="E19" s="132"/>
      <x:c r="F19" s="6" t="str">
        <x:v>Used for sanity check, not primary DCF</x:v>
      </x:c>
      <x:c r="G19" s="132"/>
      <x:c r="H19" s="132"/>
      <x:c r="I19" s="132"/>
      <x:c r="J19" s="132"/>
      <x:c r="K19" s="132"/>
      <x:c r="L19" s="132"/>
    </x:row>
    <x:row r="20">
      <x:c r="A20" s="132"/>
      <x:c r="B20" s="132"/>
      <x:c r="C20" s="132"/>
      <x:c r="D20" s="132"/>
      <x:c r="E20" s="132"/>
      <x:c r="F20" s="6"/>
      <x:c r="G20" s="132"/>
      <x:c r="H20" s="132"/>
      <x:c r="I20" s="132"/>
      <x:c r="J20" s="132"/>
      <x:c r="K20" s="132"/>
      <x:c r="L20" s="132"/>
    </x:row>
    <x:row r="21">
      <x:c r="A21" s="133" t="str">
        <x:v>Forecast Drivers By Scenario</x:v>
      </x:c>
      <x:c r="B21" s="134"/>
      <x:c r="C21" s="134"/>
      <x:c r="D21" s="134"/>
      <x:c r="E21" s="134"/>
      <x:c r="F21" s="206"/>
      <x:c r="G21" s="132"/>
      <x:c r="H21" s="132"/>
      <x:c r="I21" s="132"/>
      <x:c r="J21" s="132"/>
      <x:c r="K21" s="132"/>
      <x:c r="L21" s="132"/>
    </x:row>
    <x:row r="22">
      <x:c r="A22" s="157" t="str">
        <x:v>Driver</x:v>
      </x:c>
      <x:c r="B22" s="158" t="str">
        <x:v>Downside</x:v>
      </x:c>
      <x:c r="C22" s="158" t="str">
        <x:v>Base</x:v>
      </x:c>
      <x:c r="D22" s="158" t="str">
        <x:v>Upside</x:v>
      </x:c>
      <x:c r="E22" s="158" t="str">
        <x:v>Selected</x:v>
      </x:c>
      <x:c r="F22" s="207" t="str">
        <x:v>Notes</x:v>
      </x:c>
      <x:c r="G22" s="132"/>
      <x:c r="H22" s="132"/>
      <x:c r="I22" s="132"/>
      <x:c r="J22" s="132"/>
      <x:c r="K22" s="132"/>
      <x:c r="L22" s="132"/>
    </x:row>
    <x:row r="23">
      <x:c r="A23" s="160" t="str">
        <x:v>Revenue Growth</x:v>
      </x:c>
      <x:c r="B23" s="161" t="n">
        <x:v>0.035</x:v>
      </x:c>
      <x:c r="C23" s="161" t="n">
        <x:v>0.06</x:v>
      </x:c>
      <x:c r="D23" s="161" t="n">
        <x:v>0.085</x:v>
      </x:c>
      <x:c r="E23" s="162" t="n">
        <x:f>IF($B$8="Downside",B23,IF($B$8="Upside",D23,C23))</x:f>
        <x:v>0.06</x:v>
      </x:c>
      <x:c r="F23" s="30" t="str">
        <x:v>Applied to first forecast year, then tapers modestly</x:v>
      </x:c>
      <x:c r="G23" s="132"/>
      <x:c r="H23" s="132"/>
      <x:c r="I23" s="132"/>
      <x:c r="J23" s="132"/>
      <x:c r="K23" s="132"/>
      <x:c r="L23" s="132"/>
    </x:row>
    <x:row r="24">
      <x:c r="A24" s="160" t="str">
        <x:v>Gross Margin</x:v>
      </x:c>
      <x:c r="B24" s="161" t="n">
        <x:v>0.41</x:v>
      </x:c>
      <x:c r="C24" s="161" t="n">
        <x:v>0.43</x:v>
      </x:c>
      <x:c r="D24" s="161" t="n">
        <x:v>0.455</x:v>
      </x:c>
      <x:c r="E24" s="162" t="n">
        <x:f>IF($B$8="Downside",B24,IF($B$8="Upside",D24,C24))</x:f>
        <x:v>0.43</x:v>
      </x:c>
      <x:c r="F24" s="30" t="str">
        <x:v>Forecast gross profit / revenue</x:v>
      </x:c>
      <x:c r="G24" s="132"/>
      <x:c r="H24" s="132"/>
      <x:c r="I24" s="132"/>
      <x:c r="J24" s="132"/>
      <x:c r="K24" s="132"/>
      <x:c r="L24" s="132"/>
    </x:row>
    <x:row r="25">
      <x:c r="A25" s="160" t="str">
        <x:v>EBITDA Margin</x:v>
      </x:c>
      <x:c r="B25" s="161" t="n">
        <x:v>0.155</x:v>
      </x:c>
      <x:c r="C25" s="161" t="n">
        <x:v>0.18</x:v>
      </x:c>
      <x:c r="D25" s="161" t="n">
        <x:v>0.21</x:v>
      </x:c>
      <x:c r="E25" s="162" t="n">
        <x:f>IF($B$8="Downside",B25,IF($B$8="Upside",D25,C25))</x:f>
        <x:v>0.18</x:v>
      </x:c>
      <x:c r="F25" s="30" t="str">
        <x:v>Forecast EBITDA / revenue</x:v>
      </x:c>
      <x:c r="G25" s="132"/>
      <x:c r="H25" s="132"/>
      <x:c r="I25" s="132"/>
      <x:c r="J25" s="132"/>
      <x:c r="K25" s="132"/>
      <x:c r="L25" s="132"/>
    </x:row>
    <x:row r="26">
      <x:c r="A26" s="160" t="str">
        <x:v>D&amp;A / Revenue</x:v>
      </x:c>
      <x:c r="B26" s="161" t="n">
        <x:v>0.035</x:v>
      </x:c>
      <x:c r="C26" s="161" t="n">
        <x:v>0.032</x:v>
      </x:c>
      <x:c r="D26" s="161" t="n">
        <x:v>0.03</x:v>
      </x:c>
      <x:c r="E26" s="162" t="n">
        <x:f>IF($B$8="Downside",B26,IF($B$8="Upside",D26,C26))</x:f>
        <x:v>0.032</x:v>
      </x:c>
      <x:c r="F26" s="30" t="str">
        <x:v>Depreciation and amortization intensity</x:v>
      </x:c>
      <x:c r="G26" s="132"/>
      <x:c r="H26" s="132"/>
      <x:c r="I26" s="132"/>
      <x:c r="J26" s="132"/>
      <x:c r="K26" s="132"/>
      <x:c r="L26" s="132"/>
    </x:row>
    <x:row r="27">
      <x:c r="A27" s="160" t="str">
        <x:v>Capex / Revenue</x:v>
      </x:c>
      <x:c r="B27" s="161" t="n">
        <x:v>0.06</x:v>
      </x:c>
      <x:c r="C27" s="161" t="n">
        <x:v>0.05</x:v>
      </x:c>
      <x:c r="D27" s="161" t="n">
        <x:v>0.045</x:v>
      </x:c>
      <x:c r="E27" s="162" t="n">
        <x:f>IF($B$8="Downside",B27,IF($B$8="Upside",D27,C27))</x:f>
        <x:v>0.05</x:v>
      </x:c>
      <x:c r="F27" s="30" t="str">
        <x:v>Capital expenditure intensity</x:v>
      </x:c>
      <x:c r="G27" s="132"/>
      <x:c r="H27" s="132"/>
      <x:c r="I27" s="132"/>
      <x:c r="J27" s="132"/>
      <x:c r="K27" s="132"/>
      <x:c r="L27" s="132"/>
    </x:row>
    <x:row r="28">
      <x:c r="A28" s="163" t="str">
        <x:v>NWC / Revenue</x:v>
      </x:c>
      <x:c r="B28" s="164" t="n">
        <x:v>0.13</x:v>
      </x:c>
      <x:c r="C28" s="164" t="n">
        <x:v>0.115</x:v>
      </x:c>
      <x:c r="D28" s="164" t="n">
        <x:v>0.1</x:v>
      </x:c>
      <x:c r="E28" s="165" t="n">
        <x:f>IF($B$8="Downside",B28,IF($B$8="Upside",D28,C28))</x:f>
        <x:v>0.115</x:v>
      </x:c>
      <x:c r="F28" s="53" t="str">
        <x:v>Net working capital investment as % of revenue</x:v>
      </x:c>
      <x:c r="G28" s="132"/>
      <x:c r="H28" s="132"/>
      <x:c r="I28" s="132"/>
      <x:c r="J28" s="132"/>
      <x:c r="K28" s="132"/>
      <x:c r="L28" s="132"/>
    </x:row>
  </x:sheetData>
  <x:dataValidations count="1">
    <x:dataValidation type="list" sqref="B8">
      <x:formula1>"Downside,Base,Upside"</x:formula1>
    </x:dataValidation>
  </x:dataValidations>
  <x:pageMargins left="0.7" right="0.7" top="0.75" bottom="0.75" header="0.3" footer="0.3"/>
  <x:legacyDrawing xmlns:r="http://schemas.openxmlformats.org/officeDocument/2006/relationships" r:id="R82c4fd7fe04240e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130" t="str">
        <x:v>Historical Financials</x:v>
      </x:c>
      <x:c r="B1" s="130"/>
      <x:c r="C1" s="130"/>
      <x:c r="D1" s="130"/>
      <x:c r="E1" s="130"/>
      <x:c r="F1" s="130"/>
      <x:c r="G1" s="130"/>
      <x:c r="H1" s="130"/>
      <x:c r="I1" s="131"/>
      <x:c r="J1" s="131"/>
      <x:c r="K1" s="131"/>
      <x:c r="L1" s="131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52" t="str">
        <x:v>Paste reported annual financials below; replace illustrative placeholders with company data and cite source IDs.</x:v>
      </x:c>
      <x:c r="B3" s="152"/>
      <x:c r="C3" s="152"/>
      <x:c r="D3" s="152"/>
      <x:c r="E3" s="152"/>
      <x:c r="F3" s="152"/>
      <x:c r="G3" s="152"/>
      <x:c r="H3" s="152"/>
      <x:c r="I3" s="132"/>
      <x:c r="J3" s="132"/>
      <x:c r="K3" s="132"/>
      <x:c r="L3" s="132"/>
    </x:row>
    <x:row r="4">
      <x:c r="A4" s="132"/>
      <x:c r="B4" s="132"/>
      <x:c r="C4" s="132"/>
      <x:c r="D4" s="132"/>
      <x:c r="E4" s="132"/>
      <x:c r="F4" s="132"/>
      <x:c r="G4" s="132"/>
      <x:c r="H4" s="132"/>
      <x:c r="I4" s="132"/>
      <x:c r="J4" s="132"/>
      <x:c r="K4" s="132"/>
      <x:c r="L4" s="132"/>
    </x:row>
    <x:row r="5">
      <x:c r="A5" s="133" t="str">
        <x:v>Reported Financials</x:v>
      </x:c>
      <x:c r="B5" s="134"/>
      <x:c r="C5" s="134"/>
      <x:c r="D5" s="134"/>
      <x:c r="E5" s="134"/>
      <x:c r="F5" s="134"/>
      <x:c r="G5" s="134"/>
      <x:c r="H5" s="135"/>
      <x:c r="I5" s="132"/>
      <x:c r="J5" s="132"/>
      <x:c r="K5" s="132"/>
      <x:c r="L5" s="132"/>
    </x:row>
    <x:row r="6">
      <x:c r="A6" s="157" t="str">
        <x:v>Metric ($mm except per-share/share data)</x:v>
      </x:c>
      <x:c r="B6" s="158" t="n">
        <x:v>2022</x:v>
      </x:c>
      <x:c r="C6" s="158" t="n">
        <x:v>2023</x:v>
      </x:c>
      <x:c r="D6" s="158" t="n">
        <x:v>2024</x:v>
      </x:c>
      <x:c r="E6" s="158" t="n">
        <x:v>2025</x:v>
      </x:c>
      <x:c r="F6" s="158" t="n">
        <x:v>2026</x:v>
      </x:c>
      <x:c r="G6" s="158" t="str">
        <x:v>Source ID</x:v>
      </x:c>
      <x:c r="H6" s="159" t="str">
        <x:v>Notes</x:v>
      </x:c>
      <x:c r="I6" s="132"/>
      <x:c r="J6" s="132"/>
      <x:c r="K6" s="132"/>
      <x:c r="L6" s="132"/>
    </x:row>
    <x:row r="7">
      <x:c r="A7" s="160" t="str">
        <x:v>Revenue</x:v>
      </x:c>
      <x:c r="B7" s="167" t="n">
        <x:v>12000</x:v>
      </x:c>
      <x:c r="C7" s="167" t="n">
        <x:v>13250</x:v>
      </x:c>
      <x:c r="D7" s="167" t="n">
        <x:v>14600</x:v>
      </x:c>
      <x:c r="E7" s="167" t="n">
        <x:v>15900</x:v>
      </x:c>
      <x:c r="F7" s="167" t="n">
        <x:v>17100</x:v>
      </x:c>
      <x:c r="G7" s="168" t="str">
        <x:v>SRC-001</x:v>
      </x:c>
      <x:c r="H7" s="60" t="str">
        <x:v>Illustrative placeholder</x:v>
      </x:c>
      <x:c r="I7" s="132"/>
      <x:c r="J7" s="132"/>
      <x:c r="K7" s="132"/>
      <x:c r="L7" s="132"/>
    </x:row>
    <x:row r="8">
      <x:c r="A8" s="160" t="str">
        <x:v>Gross Profit</x:v>
      </x:c>
      <x:c r="B8" s="167" t="n">
        <x:v>4800</x:v>
      </x:c>
      <x:c r="C8" s="167" t="n">
        <x:v>5366</x:v>
      </x:c>
      <x:c r="D8" s="167" t="n">
        <x:v>6001</x:v>
      </x:c>
      <x:c r="E8" s="167" t="n">
        <x:v>6678</x:v>
      </x:c>
      <x:c r="F8" s="167" t="n">
        <x:v>7353</x:v>
      </x:c>
      <x:c r="G8" s="168" t="str">
        <x:v>SRC-001</x:v>
      </x:c>
      <x:c r="H8" s="60" t="str">
        <x:v>Illustrative placeholder</x:v>
      </x:c>
      <x:c r="I8" s="132"/>
      <x:c r="J8" s="132"/>
      <x:c r="K8" s="132"/>
      <x:c r="L8" s="132"/>
    </x:row>
    <x:row r="9">
      <x:c r="A9" s="160" t="str">
        <x:v>EBITDA</x:v>
      </x:c>
      <x:c r="B9" s="167" t="n">
        <x:v>1800</x:v>
      </x:c>
      <x:c r="C9" s="167" t="n">
        <x:v>2070</x:v>
      </x:c>
      <x:c r="D9" s="167" t="n">
        <x:v>2409</x:v>
      </x:c>
      <x:c r="E9" s="167" t="n">
        <x:v>2783</x:v>
      </x:c>
      <x:c r="F9" s="167" t="n">
        <x:v>3164</x:v>
      </x:c>
      <x:c r="G9" s="168" t="str">
        <x:v>SRC-001</x:v>
      </x:c>
      <x:c r="H9" s="60" t="str">
        <x:v>Illustrative placeholder</x:v>
      </x:c>
      <x:c r="I9" s="132"/>
      <x:c r="J9" s="132"/>
      <x:c r="K9" s="132"/>
      <x:c r="L9" s="132"/>
    </x:row>
    <x:row r="10">
      <x:c r="A10" s="160" t="str">
        <x:v>D&amp;A</x:v>
      </x:c>
      <x:c r="B10" s="167" t="n">
        <x:v>420</x:v>
      </x:c>
      <x:c r="C10" s="167" t="n">
        <x:v>450</x:v>
      </x:c>
      <x:c r="D10" s="167" t="n">
        <x:v>480</x:v>
      </x:c>
      <x:c r="E10" s="167" t="n">
        <x:v>510</x:v>
      </x:c>
      <x:c r="F10" s="167" t="n">
        <x:v>540</x:v>
      </x:c>
      <x:c r="G10" s="168" t="str">
        <x:v>SRC-001</x:v>
      </x:c>
      <x:c r="H10" s="60" t="str">
        <x:v>Illustrative placeholder</x:v>
      </x:c>
      <x:c r="I10" s="132"/>
      <x:c r="J10" s="132"/>
      <x:c r="K10" s="132"/>
      <x:c r="L10" s="132"/>
    </x:row>
    <x:row r="11">
      <x:c r="A11" s="160" t="str">
        <x:v>EBIT</x:v>
      </x:c>
      <x:c r="B11" s="167" t="n">
        <x:v>1380</x:v>
      </x:c>
      <x:c r="C11" s="167" t="n">
        <x:v>1620</x:v>
      </x:c>
      <x:c r="D11" s="167" t="n">
        <x:v>1929</x:v>
      </x:c>
      <x:c r="E11" s="167" t="n">
        <x:v>2273</x:v>
      </x:c>
      <x:c r="F11" s="167" t="n">
        <x:v>2624</x:v>
      </x:c>
      <x:c r="G11" s="168" t="str">
        <x:v>SRC-001</x:v>
      </x:c>
      <x:c r="H11" s="60" t="str">
        <x:v>Illustrative placeholder</x:v>
      </x:c>
      <x:c r="I11" s="132"/>
      <x:c r="J11" s="132"/>
      <x:c r="K11" s="132"/>
      <x:c r="L11" s="132"/>
    </x:row>
    <x:row r="12">
      <x:c r="A12" s="160" t="str">
        <x:v>Interest Expense</x:v>
      </x:c>
      <x:c r="B12" s="167" t="n">
        <x:v>125</x:v>
      </x:c>
      <x:c r="C12" s="167" t="n">
        <x:v>130</x:v>
      </x:c>
      <x:c r="D12" s="167" t="n">
        <x:v>135</x:v>
      </x:c>
      <x:c r="E12" s="167" t="n">
        <x:v>130</x:v>
      </x:c>
      <x:c r="F12" s="167" t="n">
        <x:v>125</x:v>
      </x:c>
      <x:c r="G12" s="168" t="str">
        <x:v>SRC-001</x:v>
      </x:c>
      <x:c r="H12" s="60" t="str">
        <x:v>Illustrative placeholder</x:v>
      </x:c>
      <x:c r="I12" s="132"/>
      <x:c r="J12" s="132"/>
      <x:c r="K12" s="132"/>
      <x:c r="L12" s="132"/>
    </x:row>
    <x:row r="13">
      <x:c r="A13" s="160" t="str">
        <x:v>Pre-Tax Income</x:v>
      </x:c>
      <x:c r="B13" s="167" t="n">
        <x:v>1255</x:v>
      </x:c>
      <x:c r="C13" s="167" t="n">
        <x:v>1490</x:v>
      </x:c>
      <x:c r="D13" s="167" t="n">
        <x:v>1794</x:v>
      </x:c>
      <x:c r="E13" s="167" t="n">
        <x:v>2143</x:v>
      </x:c>
      <x:c r="F13" s="167" t="n">
        <x:v>2499</x:v>
      </x:c>
      <x:c r="G13" s="168" t="str">
        <x:v>SRC-001</x:v>
      </x:c>
      <x:c r="H13" s="60" t="str">
        <x:v>Illustrative placeholder</x:v>
      </x:c>
      <x:c r="I13" s="132"/>
      <x:c r="J13" s="132"/>
      <x:c r="K13" s="132"/>
      <x:c r="L13" s="132"/>
    </x:row>
    <x:row r="14">
      <x:c r="A14" s="160" t="str">
        <x:v>Tax Expense</x:v>
      </x:c>
      <x:c r="B14" s="167" t="n">
        <x:v>289</x:v>
      </x:c>
      <x:c r="C14" s="167" t="n">
        <x:v>343</x:v>
      </x:c>
      <x:c r="D14" s="167" t="n">
        <x:v>413</x:v>
      </x:c>
      <x:c r="E14" s="167" t="n">
        <x:v>493</x:v>
      </x:c>
      <x:c r="F14" s="167" t="n">
        <x:v>575</x:v>
      </x:c>
      <x:c r="G14" s="168" t="str">
        <x:v>SRC-001</x:v>
      </x:c>
      <x:c r="H14" s="60" t="str">
        <x:v>Illustrative placeholder</x:v>
      </x:c>
      <x:c r="I14" s="132"/>
      <x:c r="J14" s="132"/>
      <x:c r="K14" s="132"/>
      <x:c r="L14" s="132"/>
    </x:row>
    <x:row r="15">
      <x:c r="A15" s="160" t="str">
        <x:v>Net Income</x:v>
      </x:c>
      <x:c r="B15" s="167" t="n">
        <x:v>966</x:v>
      </x:c>
      <x:c r="C15" s="167" t="n">
        <x:v>1147</x:v>
      </x:c>
      <x:c r="D15" s="167" t="n">
        <x:v>1381</x:v>
      </x:c>
      <x:c r="E15" s="167" t="n">
        <x:v>1650</x:v>
      </x:c>
      <x:c r="F15" s="167" t="n">
        <x:v>1924</x:v>
      </x:c>
      <x:c r="G15" s="168" t="str">
        <x:v>SRC-001</x:v>
      </x:c>
      <x:c r="H15" s="60" t="str">
        <x:v>Illustrative placeholder</x:v>
      </x:c>
      <x:c r="I15" s="132"/>
      <x:c r="J15" s="132"/>
      <x:c r="K15" s="132"/>
      <x:c r="L15" s="132"/>
    </x:row>
    <x:row r="16">
      <x:c r="A16" s="160" t="str">
        <x:v>Cash From Operations</x:v>
      </x:c>
      <x:c r="B16" s="167" t="n">
        <x:v>1300</x:v>
      </x:c>
      <x:c r="C16" s="167" t="n">
        <x:v>1510</x:v>
      </x:c>
      <x:c r="D16" s="167" t="n">
        <x:v>1740</x:v>
      </x:c>
      <x:c r="E16" s="167" t="n">
        <x:v>2020</x:v>
      </x:c>
      <x:c r="F16" s="167" t="n">
        <x:v>2320</x:v>
      </x:c>
      <x:c r="G16" s="168" t="str">
        <x:v>SRC-001</x:v>
      </x:c>
      <x:c r="H16" s="60" t="str">
        <x:v>Illustrative placeholder</x:v>
      </x:c>
      <x:c r="I16" s="132"/>
      <x:c r="J16" s="132"/>
      <x:c r="K16" s="132"/>
      <x:c r="L16" s="132"/>
    </x:row>
    <x:row r="17">
      <x:c r="A17" s="160" t="str">
        <x:v>Capital Expenditures</x:v>
      </x:c>
      <x:c r="B17" s="167" t="n">
        <x:v>-700</x:v>
      </x:c>
      <x:c r="C17" s="167" t="n">
        <x:v>-760</x:v>
      </x:c>
      <x:c r="D17" s="167" t="n">
        <x:v>-825</x:v>
      </x:c>
      <x:c r="E17" s="167" t="n">
        <x:v>-880</x:v>
      </x:c>
      <x:c r="F17" s="167" t="n">
        <x:v>-930</x:v>
      </x:c>
      <x:c r="G17" s="168" t="str">
        <x:v>SRC-001</x:v>
      </x:c>
      <x:c r="H17" s="60" t="str">
        <x:v>Illustrative placeholder</x:v>
      </x:c>
      <x:c r="I17" s="132"/>
      <x:c r="J17" s="132"/>
      <x:c r="K17" s="132"/>
      <x:c r="L17" s="132"/>
    </x:row>
    <x:row r="18">
      <x:c r="A18" s="160" t="str">
        <x:v>Cash</x:v>
      </x:c>
      <x:c r="B18" s="167" t="n">
        <x:v>1500</x:v>
      </x:c>
      <x:c r="C18" s="167" t="n">
        <x:v>1680</x:v>
      </x:c>
      <x:c r="D18" s="167" t="n">
        <x:v>1825</x:v>
      </x:c>
      <x:c r="E18" s="167" t="n">
        <x:v>2050</x:v>
      </x:c>
      <x:c r="F18" s="167" t="n">
        <x:v>2300</x:v>
      </x:c>
      <x:c r="G18" s="168" t="str">
        <x:v>SRC-001</x:v>
      </x:c>
      <x:c r="H18" s="60" t="str">
        <x:v>Illustrative placeholder</x:v>
      </x:c>
      <x:c r="I18" s="132"/>
      <x:c r="J18" s="132"/>
      <x:c r="K18" s="132"/>
      <x:c r="L18" s="132"/>
    </x:row>
    <x:row r="19">
      <x:c r="A19" s="160" t="str">
        <x:v>Debt</x:v>
      </x:c>
      <x:c r="B19" s="167" t="n">
        <x:v>4200</x:v>
      </x:c>
      <x:c r="C19" s="167" t="n">
        <x:v>4100</x:v>
      </x:c>
      <x:c r="D19" s="167" t="n">
        <x:v>4050</x:v>
      </x:c>
      <x:c r="E19" s="167" t="n">
        <x:v>3900</x:v>
      </x:c>
      <x:c r="F19" s="167" t="n">
        <x:v>3800</x:v>
      </x:c>
      <x:c r="G19" s="168" t="str">
        <x:v>SRC-001</x:v>
      </x:c>
      <x:c r="H19" s="60" t="str">
        <x:v>Illustrative placeholder</x:v>
      </x:c>
      <x:c r="I19" s="132"/>
      <x:c r="J19" s="132"/>
      <x:c r="K19" s="132"/>
      <x:c r="L19" s="132"/>
    </x:row>
    <x:row r="20">
      <x:c r="A20" s="160" t="str">
        <x:v>Diluted Shares</x:v>
      </x:c>
      <x:c r="B20" s="167" t="n">
        <x:v>440</x:v>
      </x:c>
      <x:c r="C20" s="167" t="n">
        <x:v>435</x:v>
      </x:c>
      <x:c r="D20" s="167" t="n">
        <x:v>430</x:v>
      </x:c>
      <x:c r="E20" s="167" t="n">
        <x:v>425</x:v>
      </x:c>
      <x:c r="F20" s="167" t="n">
        <x:v>420</x:v>
      </x:c>
      <x:c r="G20" s="168" t="str">
        <x:v>SRC-001</x:v>
      </x:c>
      <x:c r="H20" s="60" t="str">
        <x:v>Illustrative placeholder</x:v>
      </x:c>
      <x:c r="I20" s="132"/>
      <x:c r="J20" s="132"/>
      <x:c r="K20" s="132"/>
      <x:c r="L20" s="132"/>
    </x:row>
    <x:row r="21">
      <x:c r="A21" s="163"/>
      <x:c r="B21" s="170"/>
      <x:c r="C21" s="170"/>
      <x:c r="D21" s="170"/>
      <x:c r="E21" s="170"/>
      <x:c r="F21" s="170"/>
      <x:c r="G21" s="171"/>
      <x:c r="H21" s="61"/>
      <x:c r="I21" s="132"/>
      <x:c r="J21" s="132"/>
      <x:c r="K21" s="132"/>
      <x:c r="L21" s="13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8" customHeight="1">
      <x:c r="A1" s="130" t="str">
        <x:v>Forecast Model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1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33" t="str">
        <x:v>Historical Actuals and Forecast</x:v>
      </x:c>
      <x:c r="B3" s="134"/>
      <x:c r="C3" s="134"/>
      <x:c r="D3" s="134"/>
      <x:c r="E3" s="134"/>
      <x:c r="F3" s="134"/>
      <x:c r="G3" s="134"/>
      <x:c r="H3" s="134"/>
      <x:c r="I3" s="134"/>
      <x:c r="J3" s="134"/>
      <x:c r="K3" s="135"/>
      <x:c r="L3" s="132"/>
    </x:row>
    <x:row r="4">
      <x:c r="A4" s="157" t="str">
        <x:v>Metric</x:v>
      </x:c>
      <x:c r="B4" s="158" t="str">
        <x:v>2022A</x:v>
      </x:c>
      <x:c r="C4" s="158" t="str">
        <x:v>2023A</x:v>
      </x:c>
      <x:c r="D4" s="158" t="str">
        <x:v>2024A</x:v>
      </x:c>
      <x:c r="E4" s="158" t="str">
        <x:v>2025A</x:v>
      </x:c>
      <x:c r="F4" s="158" t="str">
        <x:v>2026A</x:v>
      </x:c>
      <x:c r="G4" s="158" t="str">
        <x:v>2027E</x:v>
      </x:c>
      <x:c r="H4" s="158" t="str">
        <x:v>2028E</x:v>
      </x:c>
      <x:c r="I4" s="158" t="str">
        <x:v>2029E</x:v>
      </x:c>
      <x:c r="J4" s="158" t="str">
        <x:v>2030E</x:v>
      </x:c>
      <x:c r="K4" s="159" t="str">
        <x:v>2031E</x:v>
      </x:c>
      <x:c r="L4" s="132"/>
    </x:row>
    <x:row r="5">
      <x:c r="A5" s="160" t="str">
        <x:v>Revenue</x:v>
      </x:c>
      <x:c r="B5" s="173" t="n">
        <x:f>'Historical Financials'!B7</x:f>
        <x:v>12000</x:v>
      </x:c>
      <x:c r="C5" s="173" t="n">
        <x:f>'Historical Financials'!C7</x:f>
        <x:v>13250</x:v>
      </x:c>
      <x:c r="D5" s="173" t="n">
        <x:f>'Historical Financials'!D7</x:f>
        <x:v>14600</x:v>
      </x:c>
      <x:c r="E5" s="173" t="n">
        <x:f>'Historical Financials'!E7</x:f>
        <x:v>15900</x:v>
      </x:c>
      <x:c r="F5" s="173" t="n">
        <x:f>'Historical Financials'!F7</x:f>
        <x:v>17100</x:v>
      </x:c>
      <x:c r="G5" s="174" t="n">
        <x:f>F5*(1+'Assumptions'!$E$23)</x:f>
        <x:v>18126</x:v>
      </x:c>
      <x:c r="H5" s="174" t="n">
        <x:f>G5*(1+MAX('Assumptions'!$E$23-0.005,0))</x:f>
        <x:v>19122.93</x:v>
      </x:c>
      <x:c r="I5" s="174" t="n">
        <x:f>H5*(1+MAX('Assumptions'!$E$23-0.010,0))</x:f>
        <x:v>20079.076500000003</x:v>
      </x:c>
      <x:c r="J5" s="174" t="n">
        <x:f>I5*(1+MAX('Assumptions'!$E$23-0.015,0))</x:f>
        <x:v>20982.6349425</x:v>
      </x:c>
      <x:c r="K5" s="175" t="n">
        <x:f>J5*(1+MAX('Assumptions'!$E$23-0.020,0))</x:f>
        <x:v>21821.940340200003</x:v>
      </x:c>
      <x:c r="L5" s="132"/>
    </x:row>
    <x:row r="6">
      <x:c r="A6" s="160" t="str">
        <x:v>Revenue Growth</x:v>
      </x:c>
      <x:c r="B6" s="176" t="n">
        <x:f>IFERROR(C5/B5-1,0)</x:f>
        <x:v>0.10416666666666674</x:v>
      </x:c>
      <x:c r="C6" s="176" t="n">
        <x:f>IFERROR(D5/C5-1,0)</x:f>
        <x:v>0.10188679245283017</x:v>
      </x:c>
      <x:c r="D6" s="176" t="n">
        <x:f>IFERROR(E5/D5-1,0)</x:f>
        <x:v>0.08904109589041087</x:v>
      </x:c>
      <x:c r="E6" s="176" t="n">
        <x:f>IFERROR(F5/E5-1,0)</x:f>
        <x:v>0.07547169811320753</x:v>
      </x:c>
      <x:c r="F6" s="176" t="n">
        <x:f>IFERROR(F5/E5-1,0)</x:f>
        <x:v>0.07547169811320753</x:v>
      </x:c>
      <x:c r="G6" s="162" t="n">
        <x:f>IFERROR(G5/F5-1,0)</x:f>
        <x:v>0.06000000000000005</x:v>
      </x:c>
      <x:c r="H6" s="162" t="n">
        <x:f>IFERROR(H5/G5-1,0)</x:f>
        <x:v>0.05499999999999994</x:v>
      </x:c>
      <x:c r="I6" s="162" t="n">
        <x:f>IFERROR(I5/H5-1,0)</x:f>
        <x:v>0.050000000000000044</x:v>
      </x:c>
      <x:c r="J6" s="162" t="n">
        <x:f>IFERROR(J5/I5-1,0)</x:f>
        <x:v>0.04499999999999993</x:v>
      </x:c>
      <x:c r="K6" s="177" t="n">
        <x:f>IFERROR(K5/J5-1,0)</x:f>
        <x:v>0.040000000000000036</x:v>
      </x:c>
      <x:c r="L6" s="132"/>
    </x:row>
    <x:row r="7">
      <x:c r="A7" s="160" t="str">
        <x:v>Gross Profit</x:v>
      </x:c>
      <x:c r="B7" s="178" t="n">
        <x:f>'Historical Financials'!B8</x:f>
        <x:v>4800</x:v>
      </x:c>
      <x:c r="C7" s="178" t="n">
        <x:f>'Historical Financials'!C8</x:f>
        <x:v>5366</x:v>
      </x:c>
      <x:c r="D7" s="178" t="n">
        <x:f>'Historical Financials'!D8</x:f>
        <x:v>6001</x:v>
      </x:c>
      <x:c r="E7" s="178" t="n">
        <x:f>'Historical Financials'!E8</x:f>
        <x:v>6678</x:v>
      </x:c>
      <x:c r="F7" s="178" t="n">
        <x:f>'Historical Financials'!F8</x:f>
        <x:v>7353</x:v>
      </x:c>
      <x:c r="G7" s="179" t="n">
        <x:f>G5*'Assumptions'!$E$24</x:f>
        <x:v>7794.18</x:v>
      </x:c>
      <x:c r="H7" s="179" t="n">
        <x:f>H5*'Assumptions'!$E$24</x:f>
        <x:v>8222.8599</x:v>
      </x:c>
      <x:c r="I7" s="179" t="n">
        <x:f>I5*'Assumptions'!$E$24</x:f>
        <x:v>8634.002895000001</x:v>
      </x:c>
      <x:c r="J7" s="179" t="n">
        <x:f>J5*'Assumptions'!$E$24</x:f>
        <x:v>9022.533025275</x:v>
      </x:c>
      <x:c r="K7" s="180" t="n">
        <x:f>K5*'Assumptions'!$E$24</x:f>
        <x:v>9383.434346286002</x:v>
      </x:c>
      <x:c r="L7" s="132"/>
    </x:row>
    <x:row r="8">
      <x:c r="A8" s="160" t="str">
        <x:v>Gross Margin</x:v>
      </x:c>
      <x:c r="B8" s="178" t="n">
        <x:f>IFERROR(B7/B5,0)</x:f>
        <x:v>0.4</x:v>
      </x:c>
      <x:c r="C8" s="178" t="n">
        <x:f>IFERROR(C7/C5,0)</x:f>
        <x:v>0.4049811320754717</x:v>
      </x:c>
      <x:c r="D8" s="178" t="n">
        <x:f>IFERROR(D7/D5,0)</x:f>
        <x:v>0.411027397260274</x:v>
      </x:c>
      <x:c r="E8" s="178" t="n">
        <x:f>IFERROR(E7/E5,0)</x:f>
        <x:v>0.42</x:v>
      </x:c>
      <x:c r="F8" s="178" t="n">
        <x:f>IFERROR(F7/F5,0)</x:f>
        <x:v>0.43</x:v>
      </x:c>
      <x:c r="G8" s="179" t="n">
        <x:f>IFERROR(G7/G5,0)</x:f>
        <x:v>0.43</x:v>
      </x:c>
      <x:c r="H8" s="179" t="n">
        <x:f>IFERROR(H7/H5,0)</x:f>
        <x:v>0.43</x:v>
      </x:c>
      <x:c r="I8" s="179" t="n">
        <x:f>IFERROR(I7/I5,0)</x:f>
        <x:v>0.43</x:v>
      </x:c>
      <x:c r="J8" s="179" t="n">
        <x:f>IFERROR(J7/J5,0)</x:f>
        <x:v>0.43000000000000005</x:v>
      </x:c>
      <x:c r="K8" s="180" t="n">
        <x:f>IFERROR(K7/K5,0)</x:f>
        <x:v>0.43</x:v>
      </x:c>
      <x:c r="L8" s="132"/>
    </x:row>
    <x:row r="9">
      <x:c r="A9" s="160" t="str">
        <x:v>EBITDA</x:v>
      </x:c>
      <x:c r="B9" s="178" t="n">
        <x:f>'Historical Financials'!B9</x:f>
        <x:v>1800</x:v>
      </x:c>
      <x:c r="C9" s="178" t="n">
        <x:f>'Historical Financials'!C9</x:f>
        <x:v>2070</x:v>
      </x:c>
      <x:c r="D9" s="178" t="n">
        <x:f>'Historical Financials'!D9</x:f>
        <x:v>2409</x:v>
      </x:c>
      <x:c r="E9" s="178" t="n">
        <x:f>'Historical Financials'!E9</x:f>
        <x:v>2783</x:v>
      </x:c>
      <x:c r="F9" s="178" t="n">
        <x:f>'Historical Financials'!F9</x:f>
        <x:v>3164</x:v>
      </x:c>
      <x:c r="G9" s="179" t="n">
        <x:f>G5*'Assumptions'!$E$25</x:f>
        <x:v>3262.68</x:v>
      </x:c>
      <x:c r="H9" s="179" t="n">
        <x:f>H5*'Assumptions'!$E$25</x:f>
        <x:v>3442.1274</x:v>
      </x:c>
      <x:c r="I9" s="179" t="n">
        <x:f>I5*'Assumptions'!$E$25</x:f>
        <x:v>3614.2337700000003</x:v>
      </x:c>
      <x:c r="J9" s="179" t="n">
        <x:f>J5*'Assumptions'!$E$25</x:f>
        <x:v>3776.87428965</x:v>
      </x:c>
      <x:c r="K9" s="180" t="n">
        <x:f>K5*'Assumptions'!$E$25</x:f>
        <x:v>3927.9492612360004</x:v>
      </x:c>
      <x:c r="L9" s="132"/>
    </x:row>
    <x:row r="10">
      <x:c r="A10" s="160" t="str">
        <x:v>EBITDA Margin</x:v>
      </x:c>
      <x:c r="B10" s="178" t="n">
        <x:f>IFERROR(B9/B5,0)</x:f>
        <x:v>0.15</x:v>
      </x:c>
      <x:c r="C10" s="178" t="n">
        <x:f>IFERROR(C9/C5,0)</x:f>
        <x:v>0.15622641509433963</x:v>
      </x:c>
      <x:c r="D10" s="178" t="n">
        <x:f>IFERROR(D9/D5,0)</x:f>
        <x:v>0.165</x:v>
      </x:c>
      <x:c r="E10" s="178" t="n">
        <x:f>IFERROR(E9/E5,0)</x:f>
        <x:v>0.17503144654088051</x:v>
      </x:c>
      <x:c r="F10" s="178" t="n">
        <x:f>IFERROR(F9/F5,0)</x:f>
        <x:v>0.18502923976608188</x:v>
      </x:c>
      <x:c r="G10" s="179" t="n">
        <x:f>IFERROR(G9/G5,0)</x:f>
        <x:v>0.18</x:v>
      </x:c>
      <x:c r="H10" s="179" t="n">
        <x:f>IFERROR(H9/H5,0)</x:f>
        <x:v>0.18</x:v>
      </x:c>
      <x:c r="I10" s="179" t="n">
        <x:f>IFERROR(I9/I5,0)</x:f>
        <x:v>0.18</x:v>
      </x:c>
      <x:c r="J10" s="179" t="n">
        <x:f>IFERROR(J9/J5,0)</x:f>
        <x:v>0.18</x:v>
      </x:c>
      <x:c r="K10" s="180" t="n">
        <x:f>IFERROR(K9/K5,0)</x:f>
        <x:v>0.18</x:v>
      </x:c>
      <x:c r="L10" s="132"/>
    </x:row>
    <x:row r="11">
      <x:c r="A11" s="160" t="str">
        <x:v>D&amp;A</x:v>
      </x:c>
      <x:c r="B11" s="178" t="n">
        <x:f>'Historical Financials'!B10</x:f>
        <x:v>420</x:v>
      </x:c>
      <x:c r="C11" s="178" t="n">
        <x:f>'Historical Financials'!C10</x:f>
        <x:v>450</x:v>
      </x:c>
      <x:c r="D11" s="178" t="n">
        <x:f>'Historical Financials'!D10</x:f>
        <x:v>480</x:v>
      </x:c>
      <x:c r="E11" s="178" t="n">
        <x:f>'Historical Financials'!E10</x:f>
        <x:v>510</x:v>
      </x:c>
      <x:c r="F11" s="178" t="n">
        <x:f>'Historical Financials'!F10</x:f>
        <x:v>540</x:v>
      </x:c>
      <x:c r="G11" s="179" t="n">
        <x:f>G5*'Assumptions'!$E$26</x:f>
        <x:v>580.032</x:v>
      </x:c>
      <x:c r="H11" s="179" t="n">
        <x:f>H5*'Assumptions'!$E$26</x:f>
        <x:v>611.93376</x:v>
      </x:c>
      <x:c r="I11" s="179" t="n">
        <x:f>I5*'Assumptions'!$E$26</x:f>
        <x:v>642.5304480000001</x:v>
      </x:c>
      <x:c r="J11" s="179" t="n">
        <x:f>J5*'Assumptions'!$E$26</x:f>
        <x:v>671.4443181600001</x:v>
      </x:c>
      <x:c r="K11" s="180" t="n">
        <x:f>K5*'Assumptions'!$E$26</x:f>
        <x:v>698.3020908864002</x:v>
      </x:c>
      <x:c r="L11" s="132"/>
    </x:row>
    <x:row r="12">
      <x:c r="A12" s="160" t="str">
        <x:v>D&amp;A / Revenue</x:v>
      </x:c>
      <x:c r="B12" s="178" t="n">
        <x:f>IFERROR(B11/B5,0)</x:f>
        <x:v>0.035</x:v>
      </x:c>
      <x:c r="C12" s="178" t="n">
        <x:f>IFERROR(C11/C5,0)</x:f>
        <x:v>0.033962264150943396</x:v>
      </x:c>
      <x:c r="D12" s="178" t="n">
        <x:f>IFERROR(D11/D5,0)</x:f>
        <x:v>0.03287671232876712</x:v>
      </x:c>
      <x:c r="E12" s="178" t="n">
        <x:f>IFERROR(E11/E5,0)</x:f>
        <x:v>0.03207547169811321</x:v>
      </x:c>
      <x:c r="F12" s="178" t="n">
        <x:f>IFERROR(F11/F5,0)</x:f>
        <x:v>0.031578947368421054</x:v>
      </x:c>
      <x:c r="G12" s="179" t="n">
        <x:f>IFERROR(G11/G5,0)</x:f>
        <x:v>0.032</x:v>
      </x:c>
      <x:c r="H12" s="179" t="n">
        <x:f>IFERROR(H11/H5,0)</x:f>
        <x:v>0.032</x:v>
      </x:c>
      <x:c r="I12" s="179" t="n">
        <x:f>IFERROR(I11/I5,0)</x:f>
        <x:v>0.032</x:v>
      </x:c>
      <x:c r="J12" s="179" t="n">
        <x:f>IFERROR(J11/J5,0)</x:f>
        <x:v>0.032</x:v>
      </x:c>
      <x:c r="K12" s="180" t="n">
        <x:f>IFERROR(K11/K5,0)</x:f>
        <x:v>0.032</x:v>
      </x:c>
      <x:c r="L12" s="132"/>
    </x:row>
    <x:row r="13">
      <x:c r="A13" s="160" t="str">
        <x:v>EBIT</x:v>
      </x:c>
      <x:c r="B13" s="178" t="n">
        <x:f>'Historical Financials'!B11</x:f>
        <x:v>1380</x:v>
      </x:c>
      <x:c r="C13" s="178" t="n">
        <x:f>'Historical Financials'!C11</x:f>
        <x:v>1620</x:v>
      </x:c>
      <x:c r="D13" s="178" t="n">
        <x:f>'Historical Financials'!D11</x:f>
        <x:v>1929</x:v>
      </x:c>
      <x:c r="E13" s="178" t="n">
        <x:f>'Historical Financials'!E11</x:f>
        <x:v>2273</x:v>
      </x:c>
      <x:c r="F13" s="178" t="n">
        <x:f>'Historical Financials'!F11</x:f>
        <x:v>2624</x:v>
      </x:c>
      <x:c r="G13" s="179" t="n">
        <x:f>G9-G11</x:f>
        <x:v>2682.6479999999997</x:v>
      </x:c>
      <x:c r="H13" s="179" t="n">
        <x:f>H9-H11</x:f>
        <x:v>2830.19364</x:v>
      </x:c>
      <x:c r="I13" s="179" t="n">
        <x:f>I9-I11</x:f>
        <x:v>2971.7033220000003</x:v>
      </x:c>
      <x:c r="J13" s="179" t="n">
        <x:f>J9-J11</x:f>
        <x:v>3105.42997149</x:v>
      </x:c>
      <x:c r="K13" s="180" t="n">
        <x:f>K9-K11</x:f>
        <x:v>3229.6471703496004</x:v>
      </x:c>
      <x:c r="L13" s="132"/>
    </x:row>
    <x:row r="14">
      <x:c r="A14" s="160" t="str">
        <x:v>EBIT Margin</x:v>
      </x:c>
      <x:c r="B14" s="178" t="n">
        <x:f>IFERROR(B13/B5,0)</x:f>
        <x:v>0.115</x:v>
      </x:c>
      <x:c r="C14" s="178" t="n">
        <x:f>IFERROR(C13/C5,0)</x:f>
        <x:v>0.12226415094339622</x:v>
      </x:c>
      <x:c r="D14" s="178" t="n">
        <x:f>IFERROR(D13/D5,0)</x:f>
        <x:v>0.13212328767123288</x:v>
      </x:c>
      <x:c r="E14" s="178" t="n">
        <x:f>IFERROR(E13/E5,0)</x:f>
        <x:v>0.14295597484276729</x:v>
      </x:c>
      <x:c r="F14" s="178" t="n">
        <x:f>IFERROR(F13/F5,0)</x:f>
        <x:v>0.1534502923976608</x:v>
      </x:c>
      <x:c r="G14" s="179" t="n">
        <x:f>IFERROR(G13/G5,0)</x:f>
        <x:v>0.148</x:v>
      </x:c>
      <x:c r="H14" s="179" t="n">
        <x:f>IFERROR(H13/H5,0)</x:f>
        <x:v>0.148</x:v>
      </x:c>
      <x:c r="I14" s="179" t="n">
        <x:f>IFERROR(I13/I5,0)</x:f>
        <x:v>0.148</x:v>
      </x:c>
      <x:c r="J14" s="179" t="n">
        <x:f>IFERROR(J13/J5,0)</x:f>
        <x:v>0.148</x:v>
      </x:c>
      <x:c r="K14" s="180" t="n">
        <x:f>IFERROR(K13/K5,0)</x:f>
        <x:v>0.148</x:v>
      </x:c>
      <x:c r="L14" s="132"/>
    </x:row>
    <x:row r="15">
      <x:c r="A15" s="160" t="str">
        <x:v>Cash Taxes</x:v>
      </x:c>
      <x:c r="B15" s="178" t="n">
        <x:f>'Historical Financials'!B15</x:f>
        <x:v>966</x:v>
      </x:c>
      <x:c r="C15" s="178" t="n">
        <x:f>'Historical Financials'!C15</x:f>
        <x:v>1147</x:v>
      </x:c>
      <x:c r="D15" s="178" t="n">
        <x:f>'Historical Financials'!D15</x:f>
        <x:v>1381</x:v>
      </x:c>
      <x:c r="E15" s="178" t="n">
        <x:f>'Historical Financials'!E15</x:f>
        <x:v>1650</x:v>
      </x:c>
      <x:c r="F15" s="178" t="n">
        <x:f>'Historical Financials'!F15</x:f>
        <x:v>1924</x:v>
      </x:c>
      <x:c r="G15" s="179" t="n">
        <x:f>MAX(G13,0)*'Assumptions'!$B$14</x:f>
        <x:v>617.0090399999999</x:v>
      </x:c>
      <x:c r="H15" s="179" t="n">
        <x:f>MAX(H13,0)*'Assumptions'!$B$14</x:f>
        <x:v>650.9445372</x:v>
      </x:c>
      <x:c r="I15" s="179" t="n">
        <x:f>MAX(I13,0)*'Assumptions'!$B$14</x:f>
        <x:v>683.4917640600002</x:v>
      </x:c>
      <x:c r="J15" s="179" t="n">
        <x:f>MAX(J13,0)*'Assumptions'!$B$14</x:f>
        <x:v>714.2488934427</x:v>
      </x:c>
      <x:c r="K15" s="180" t="n">
        <x:f>MAX(K13,0)*'Assumptions'!$B$14</x:f>
        <x:v>742.8188491804082</x:v>
      </x:c>
      <x:c r="L15" s="132"/>
    </x:row>
    <x:row r="16">
      <x:c r="A16" s="160" t="str">
        <x:v>NOPAT</x:v>
      </x:c>
      <x:c r="B16" s="178" t="n">
        <x:f>B13-B15</x:f>
        <x:v>414</x:v>
      </x:c>
      <x:c r="C16" s="178" t="n">
        <x:f>C13-C15</x:f>
        <x:v>473</x:v>
      </x:c>
      <x:c r="D16" s="178" t="n">
        <x:f>D13-D15</x:f>
        <x:v>548</x:v>
      </x:c>
      <x:c r="E16" s="178" t="n">
        <x:f>E13-E15</x:f>
        <x:v>623</x:v>
      </x:c>
      <x:c r="F16" s="178" t="n">
        <x:f>F13-F15</x:f>
        <x:v>700</x:v>
      </x:c>
      <x:c r="G16" s="179" t="n">
        <x:f>G13-G15</x:f>
        <x:v>2065.6389599999998</x:v>
      </x:c>
      <x:c r="H16" s="179" t="n">
        <x:f>H13-H15</x:f>
        <x:v>2179.2491028</x:v>
      </x:c>
      <x:c r="I16" s="179" t="n">
        <x:f>I13-I15</x:f>
        <x:v>2288.21155794</x:v>
      </x:c>
      <x:c r="J16" s="179" t="n">
        <x:f>J13-J15</x:f>
        <x:v>2391.1810780472997</x:v>
      </x:c>
      <x:c r="K16" s="180" t="n">
        <x:f>K13-K15</x:f>
        <x:v>2486.8283211691923</x:v>
      </x:c>
      <x:c r="L16" s="132"/>
    </x:row>
    <x:row r="17">
      <x:c r="A17" s="160" t="str">
        <x:v>Capital Expenditures</x:v>
      </x:c>
      <x:c r="B17" s="178" t="n">
        <x:f>'Historical Financials'!B18</x:f>
        <x:v>1500</x:v>
      </x:c>
      <x:c r="C17" s="178" t="n">
        <x:f>'Historical Financials'!C18</x:f>
        <x:v>1680</x:v>
      </x:c>
      <x:c r="D17" s="178" t="n">
        <x:f>'Historical Financials'!D18</x:f>
        <x:v>1825</x:v>
      </x:c>
      <x:c r="E17" s="178" t="n">
        <x:f>'Historical Financials'!E18</x:f>
        <x:v>2050</x:v>
      </x:c>
      <x:c r="F17" s="178" t="n">
        <x:f>'Historical Financials'!F18</x:f>
        <x:v>2300</x:v>
      </x:c>
      <x:c r="G17" s="179" t="n">
        <x:f>G5*'Assumptions'!$E$27</x:f>
        <x:v>906.3000000000001</x:v>
      </x:c>
      <x:c r="H17" s="179" t="n">
        <x:f>H5*'Assumptions'!$E$27</x:f>
        <x:v>956.1465000000001</x:v>
      </x:c>
      <x:c r="I17" s="179" t="n">
        <x:f>I5*'Assumptions'!$E$27</x:f>
        <x:v>1003.9538250000002</x:v>
      </x:c>
      <x:c r="J17" s="179" t="n">
        <x:f>J5*'Assumptions'!$E$27</x:f>
        <x:v>1049.1317471250002</x:v>
      </x:c>
      <x:c r="K17" s="180" t="n">
        <x:f>K5*'Assumptions'!$E$27</x:f>
        <x:v>1091.0970170100002</x:v>
      </x:c>
      <x:c r="L17" s="132"/>
    </x:row>
    <x:row r="18">
      <x:c r="A18" s="160" t="str">
        <x:v>Capex / Revenue</x:v>
      </x:c>
      <x:c r="B18" s="178" t="n">
        <x:f>IFERROR(B17/B5,0)</x:f>
        <x:v>0.125</x:v>
      </x:c>
      <x:c r="C18" s="178" t="n">
        <x:f>IFERROR(C17/C5,0)</x:f>
        <x:v>0.12679245283018867</x:v>
      </x:c>
      <x:c r="D18" s="178" t="n">
        <x:f>IFERROR(D17/D5,0)</x:f>
        <x:v>0.125</x:v>
      </x:c>
      <x:c r="E18" s="178" t="n">
        <x:f>IFERROR(E17/E5,0)</x:f>
        <x:v>0.1289308176100629</x:v>
      </x:c>
      <x:c r="F18" s="178" t="n">
        <x:f>IFERROR(F17/F5,0)</x:f>
        <x:v>0.13450292397660818</x:v>
      </x:c>
      <x:c r="G18" s="179" t="n">
        <x:f>IFERROR(G17/G5,0)</x:f>
        <x:v>0.05</x:v>
      </x:c>
      <x:c r="H18" s="179" t="n">
        <x:f>IFERROR(H17/H5,0)</x:f>
        <x:v>0.05</x:v>
      </x:c>
      <x:c r="I18" s="179" t="n">
        <x:f>IFERROR(I17/I5,0)</x:f>
        <x:v>0.05</x:v>
      </x:c>
      <x:c r="J18" s="179" t="n">
        <x:f>IFERROR(J17/J5,0)</x:f>
        <x:v>0.05000000000000001</x:v>
      </x:c>
      <x:c r="K18" s="180" t="n">
        <x:f>IFERROR(K17/K5,0)</x:f>
        <x:v>0.05</x:v>
      </x:c>
      <x:c r="L18" s="132"/>
    </x:row>
    <x:row r="19">
      <x:c r="A19" s="160" t="str">
        <x:v>Net Working Capital</x:v>
      </x:c>
      <x:c r="B19" s="178" t="n">
        <x:f>B5*'Assumptions'!$E$28</x:f>
        <x:v>1380</x:v>
      </x:c>
      <x:c r="C19" s="178" t="n">
        <x:f>C5*'Assumptions'!$E$28</x:f>
        <x:v>1523.75</x:v>
      </x:c>
      <x:c r="D19" s="178" t="n">
        <x:f>D5*'Assumptions'!$E$28</x:f>
        <x:v>1679</x:v>
      </x:c>
      <x:c r="E19" s="178" t="n">
        <x:f>E5*'Assumptions'!$E$28</x:f>
        <x:v>1828.5</x:v>
      </x:c>
      <x:c r="F19" s="178" t="n">
        <x:f>F5*'Assumptions'!$E$28</x:f>
        <x:v>1966.5</x:v>
      </x:c>
      <x:c r="G19" s="179" t="n">
        <x:f>G5*'Assumptions'!$E$28</x:f>
        <x:v>2084.4900000000002</x:v>
      </x:c>
      <x:c r="H19" s="179" t="n">
        <x:f>H5*'Assumptions'!$E$28</x:f>
        <x:v>2199.13695</x:v>
      </x:c>
      <x:c r="I19" s="179" t="n">
        <x:f>I5*'Assumptions'!$E$28</x:f>
        <x:v>2309.0937975000006</x:v>
      </x:c>
      <x:c r="J19" s="179" t="n">
        <x:f>J5*'Assumptions'!$E$28</x:f>
        <x:v>2413.0030183875</x:v>
      </x:c>
      <x:c r="K19" s="180" t="n">
        <x:f>K5*'Assumptions'!$E$28</x:f>
        <x:v>2509.5231391230004</x:v>
      </x:c>
      <x:c r="L19" s="132"/>
    </x:row>
    <x:row r="20">
      <x:c r="A20" s="160" t="str">
        <x:v>Change in NWC</x:v>
      </x:c>
      <x:c r="B20" s="178" t="n">
        <x:f>0</x:f>
        <x:v>0</x:v>
      </x:c>
      <x:c r="C20" s="178" t="n">
        <x:f>C19-B19</x:f>
        <x:v>143.75</x:v>
      </x:c>
      <x:c r="D20" s="178" t="n">
        <x:f>D19-C19</x:f>
        <x:v>155.25</x:v>
      </x:c>
      <x:c r="E20" s="178" t="n">
        <x:f>E19-D19</x:f>
        <x:v>149.5</x:v>
      </x:c>
      <x:c r="F20" s="178" t="n">
        <x:f>F19-E19</x:f>
        <x:v>138</x:v>
      </x:c>
      <x:c r="G20" s="179" t="n">
        <x:f>G19-F19</x:f>
        <x:v>117.99000000000024</x:v>
      </x:c>
      <x:c r="H20" s="179" t="n">
        <x:f>H19-G19</x:f>
        <x:v>114.64694999999983</x:v>
      </x:c>
      <x:c r="I20" s="179" t="n">
        <x:f>I19-H19</x:f>
        <x:v>109.95684750000055</x:v>
      </x:c>
      <x:c r="J20" s="179" t="n">
        <x:f>J19-I19</x:f>
        <x:v>103.90922088749949</x:v>
      </x:c>
      <x:c r="K20" s="180" t="n">
        <x:f>K19-J19</x:f>
        <x:v>96.52012073550031</x:v>
      </x:c>
      <x:c r="L20" s="132"/>
    </x:row>
    <x:row r="21">
      <x:c r="A21" s="160" t="str">
        <x:v>Unlevered Free Cash Flow</x:v>
      </x:c>
      <x:c r="B21" s="178" t="n">
        <x:f>B16+B11+B17-B20</x:f>
        <x:v>2334</x:v>
      </x:c>
      <x:c r="C21" s="178" t="n">
        <x:f>C16+C11+C17-C20</x:f>
        <x:v>2459.25</x:v>
      </x:c>
      <x:c r="D21" s="178" t="n">
        <x:f>D16+D11+D17-D20</x:f>
        <x:v>2697.75</x:v>
      </x:c>
      <x:c r="E21" s="178" t="n">
        <x:f>E16+E11+E17-E20</x:f>
        <x:v>3033.5</x:v>
      </x:c>
      <x:c r="F21" s="178" t="n">
        <x:f>F16+F11+F17-F20</x:f>
        <x:v>3402</x:v>
      </x:c>
      <x:c r="G21" s="179" t="n">
        <x:f>G16+G11-G17-G20</x:f>
        <x:v>1621.3809599999995</x:v>
      </x:c>
      <x:c r="H21" s="179" t="n">
        <x:f>H16+H11-H17-H20</x:f>
        <x:v>1720.3894128</x:v>
      </x:c>
      <x:c r="I21" s="179" t="n">
        <x:f>I16+I11-I17-I20</x:f>
        <x:v>1816.8313334399995</x:v>
      </x:c>
      <x:c r="J21" s="179" t="n">
        <x:f>J16+J11-J17-J20</x:f>
        <x:v>1909.5844281948</x:v>
      </x:c>
      <x:c r="K21" s="180" t="n">
        <x:f>K16+K11-K17-K20</x:f>
        <x:v>1997.5132743100921</x:v>
      </x:c>
      <x:c r="L21" s="132"/>
    </x:row>
    <x:row r="22">
      <x:c r="A22" s="181" t="str">
        <x:v>FCF Margin</x:v>
      </x:c>
      <x:c r="B22" s="182" t="n">
        <x:f>IFERROR(B21/B5,0)</x:f>
        <x:v>0.1945</x:v>
      </x:c>
      <x:c r="C22" s="182" t="n">
        <x:f>IFERROR(C21/C5,0)</x:f>
        <x:v>0.18560377358490565</x:v>
      </x:c>
      <x:c r="D22" s="182" t="n">
        <x:f>IFERROR(D21/D5,0)</x:f>
        <x:v>0.18477739726027398</x:v>
      </x:c>
      <x:c r="E22" s="182" t="n">
        <x:f>IFERROR(E21/E5,0)</x:f>
        <x:v>0.19078616352201258</x:v>
      </x:c>
      <x:c r="F22" s="182" t="n">
        <x:f>IFERROR(F21/F5,0)</x:f>
        <x:v>0.19894736842105262</x:v>
      </x:c>
      <x:c r="G22" s="182" t="n">
        <x:f>IFERROR(G21/G5,0)</x:f>
        <x:v>0.08945056603773582</x:v>
      </x:c>
      <x:c r="H22" s="182" t="n">
        <x:f>IFERROR(H21/H5,0)</x:f>
        <x:v>0.08996473933649289</x:v>
      </x:c>
      <x:c r="I22" s="182" t="n">
        <x:f>IFERROR(I21/I5,0)</x:f>
        <x:v>0.0904838095238095</x:v>
      </x:c>
      <x:c r="J22" s="182" t="n">
        <x:f>IFERROR(J21/J5,0)</x:f>
        <x:v>0.09100784688995216</x:v>
      </x:c>
      <x:c r="K22" s="182" t="n">
        <x:f>IFERROR(K21/K5,0)</x:f>
        <x:v>0.09153692307692307</x:v>
      </x:c>
      <x:c r="L22" s="132"/>
    </x:row>
    <x:row r="23">
      <x:c r="A23" s="160" t="str">
        <x:v>Revenue CAGR</x:v>
      </x:c>
      <x:c r="B23" s="178" t="n">
        <x:f>0</x:f>
        <x:v>0</x:v>
      </x:c>
      <x:c r="C23" s="178" t="n">
        <x:f>0</x:f>
        <x:v>0</x:v>
      </x:c>
      <x:c r="D23" s="178" t="n">
        <x:f>0</x:f>
        <x:v>0</x:v>
      </x:c>
      <x:c r="E23" s="178" t="n">
        <x:f>0</x:f>
        <x:v>0</x:v>
      </x:c>
      <x:c r="F23" s="178" t="n">
        <x:f>0</x:f>
        <x:v>0</x:v>
      </x:c>
      <x:c r="G23" s="179" t="n">
        <x:f>IFERROR((K5/F5)^(1/5)-1,0)</x:f>
        <x:v>0.049976189828278006</x:v>
      </x:c>
      <x:c r="H23" s="179" t="n">
        <x:f>IFERROR((K5/F5)^(1/5)-1,0)</x:f>
        <x:v>0.049976189828278006</x:v>
      </x:c>
      <x:c r="I23" s="179" t="n">
        <x:f>IFERROR((K5/F5)^(1/5)-1,0)</x:f>
        <x:v>0.049976189828278006</x:v>
      </x:c>
      <x:c r="J23" s="179" t="n">
        <x:f>IFERROR((K5/F5)^(1/5)-1,0)</x:f>
        <x:v>0.049976189828278006</x:v>
      </x:c>
      <x:c r="K23" s="180" t="n">
        <x:f>IFERROR((K5/F5)^(1/5)-1,0)</x:f>
        <x:v>0.049976189828278006</x:v>
      </x:c>
      <x:c r="L23" s="132"/>
    </x:row>
    <x:row r="24">
      <x:c r="A24" s="183" t="str">
        <x:v>Terminal EBITDA Margin</x:v>
      </x:c>
      <x:c r="B24" s="184"/>
      <x:c r="C24" s="184"/>
      <x:c r="D24" s="184"/>
      <x:c r="E24" s="184"/>
      <x:c r="F24" s="184"/>
      <x:c r="G24" s="184"/>
      <x:c r="H24" s="184"/>
      <x:c r="I24" s="184"/>
      <x:c r="J24" s="184"/>
      <x:c r="K24" s="184" t="n">
        <x:f>K10</x:f>
        <x:v>0.18</x:v>
      </x:c>
      <x:c r="L24" s="13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130" t="str">
        <x:v>DCF Valuation</x:v>
      </x:c>
      <x:c r="B1" s="130"/>
      <x:c r="C1" s="130"/>
      <x:c r="D1" s="130"/>
      <x:c r="E1" s="130"/>
      <x:c r="F1" s="130"/>
      <x:c r="G1" s="130"/>
      <x:c r="H1" s="131"/>
      <x:c r="I1" s="131"/>
      <x:c r="J1" s="131"/>
      <x:c r="K1" s="131"/>
      <x:c r="L1" s="131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33" t="str">
        <x:v>DCF Bridge</x:v>
      </x:c>
      <x:c r="B3" s="134"/>
      <x:c r="C3" s="134"/>
      <x:c r="D3" s="134"/>
      <x:c r="E3" s="134"/>
      <x:c r="F3" s="134"/>
      <x:c r="G3" s="135"/>
      <x:c r="H3" s="132"/>
      <x:c r="I3" s="132"/>
      <x:c r="J3" s="132"/>
      <x:c r="K3" s="132"/>
      <x:c r="L3" s="132"/>
    </x:row>
    <x:row r="4">
      <x:c r="A4" s="157" t="str">
        <x:v>Metric</x:v>
      </x:c>
      <x:c r="B4" s="158" t="str">
        <x:v>Output</x:v>
      </x:c>
      <x:c r="C4" s="158" t="str">
        <x:v>2027E</x:v>
      </x:c>
      <x:c r="D4" s="158" t="str">
        <x:v>2028E</x:v>
      </x:c>
      <x:c r="E4" s="158" t="str">
        <x:v>2029E</x:v>
      </x:c>
      <x:c r="F4" s="158" t="str">
        <x:v>2030E</x:v>
      </x:c>
      <x:c r="G4" s="159" t="str">
        <x:v>2031E</x:v>
      </x:c>
      <x:c r="H4" s="132"/>
      <x:c r="I4" s="132"/>
      <x:c r="J4" s="132"/>
      <x:c r="K4" s="132"/>
      <x:c r="L4" s="132"/>
    </x:row>
    <x:row r="5">
      <x:c r="A5" s="160" t="str">
        <x:v>Unlevered FCF</x:v>
      </x:c>
      <x:c r="B5" s="185"/>
      <x:c r="C5" s="178" t="n">
        <x:f>'Forecast Model'!G21</x:f>
        <x:v>1621.3809599999995</x:v>
      </x:c>
      <x:c r="D5" s="178" t="n">
        <x:f>'Forecast Model'!H21</x:f>
        <x:v>1720.3894128</x:v>
      </x:c>
      <x:c r="E5" s="178" t="n">
        <x:f>'Forecast Model'!I21</x:f>
        <x:v>1816.8313334399995</x:v>
      </x:c>
      <x:c r="F5" s="178" t="n">
        <x:f>'Forecast Model'!J21</x:f>
        <x:v>1909.5844281948</x:v>
      </x:c>
      <x:c r="G5" s="186" t="n">
        <x:f>'Forecast Model'!K21</x:f>
        <x:v>1997.5132743100921</x:v>
      </x:c>
      <x:c r="H5" s="132"/>
      <x:c r="I5" s="132"/>
      <x:c r="J5" s="132"/>
      <x:c r="K5" s="132"/>
      <x:c r="L5" s="132"/>
    </x:row>
    <x:row r="6">
      <x:c r="A6" s="160" t="str">
        <x:v>Discount Period</x:v>
      </x:c>
      <x:c r="B6" s="185"/>
      <x:c r="C6" s="187" t="n">
        <x:v>1</x:v>
      </x:c>
      <x:c r="D6" s="187" t="n">
        <x:v>2</x:v>
      </x:c>
      <x:c r="E6" s="187" t="n">
        <x:v>3</x:v>
      </x:c>
      <x:c r="F6" s="187" t="n">
        <x:v>4</x:v>
      </x:c>
      <x:c r="G6" s="188" t="n">
        <x:v>5</x:v>
      </x:c>
      <x:c r="H6" s="132"/>
      <x:c r="I6" s="132"/>
      <x:c r="J6" s="132"/>
      <x:c r="K6" s="132"/>
      <x:c r="L6" s="132"/>
    </x:row>
    <x:row r="7">
      <x:c r="A7" s="160" t="str">
        <x:v>Discount Factor</x:v>
      </x:c>
      <x:c r="B7" s="185"/>
      <x:c r="C7" s="187" t="n">
        <x:f>1/(1+'Assumptions'!$B$12)^C6</x:f>
        <x:v>0.9132420091324202</x:v>
      </x:c>
      <x:c r="D7" s="187" t="n">
        <x:f>1/(1+'Assumptions'!$B$12)^D6</x:f>
        <x:v>0.8340109672442193</x:v>
      </x:c>
      <x:c r="E7" s="187" t="n">
        <x:f>1/(1+'Assumptions'!$B$12)^E6</x:f>
        <x:v>0.7616538513645839</x:v>
      </x:c>
      <x:c r="F7" s="187" t="n">
        <x:f>1/(1+'Assumptions'!$B$12)^F6</x:f>
        <x:v>0.6955742934836383</x:v>
      </x:c>
      <x:c r="G7" s="188" t="n">
        <x:f>1/(1+'Assumptions'!$B$12)^G6</x:f>
        <x:v>0.6352276652818615</x:v>
      </x:c>
      <x:c r="H7" s="132"/>
      <x:c r="I7" s="132"/>
      <x:c r="J7" s="132"/>
      <x:c r="K7" s="132"/>
      <x:c r="L7" s="132"/>
    </x:row>
    <x:row r="8">
      <x:c r="A8" s="160" t="str">
        <x:v>PV of FCF</x:v>
      </x:c>
      <x:c r="B8" s="185"/>
      <x:c r="C8" s="178" t="n">
        <x:f>C5*C7</x:f>
        <x:v>1480.7132054794517</x:v>
      </x:c>
      <x:c r="D8" s="178" t="n">
        <x:f>D5*D7</x:f>
        <x:v>1434.8236382060425</x:v>
      </x:c>
      <x:c r="E8" s="178" t="n">
        <x:f>E5*E7</x:f>
        <x:v>1383.796582394428</x:v>
      </x:c>
      <x:c r="F8" s="178" t="n">
        <x:f>F5*F7</x:f>
        <x:v>1328.2578394889554</x:v>
      </x:c>
      <x:c r="G8" s="186" t="n">
        <x:f>G5*G7</x:f>
        <x:v>1268.8756936095263</x:v>
      </x:c>
      <x:c r="H8" s="132"/>
      <x:c r="I8" s="132"/>
      <x:c r="J8" s="132"/>
      <x:c r="K8" s="132"/>
      <x:c r="L8" s="132"/>
    </x:row>
    <x:row r="9">
      <x:c r="A9" s="160" t="str">
        <x:v>Terminal FCF</x:v>
      </x:c>
      <x:c r="B9" s="185"/>
      <x:c r="C9" s="178"/>
      <x:c r="D9" s="178"/>
      <x:c r="E9" s="178"/>
      <x:c r="F9" s="178"/>
      <x:c r="G9" s="186" t="n">
        <x:f>G5*(1+'Assumptions'!$B$13)</x:f>
        <x:v>2047.4511061678443</x:v>
      </x:c>
      <x:c r="H9" s="132"/>
      <x:c r="I9" s="132"/>
      <x:c r="J9" s="132"/>
      <x:c r="K9" s="132"/>
      <x:c r="L9" s="132"/>
    </x:row>
    <x:row r="10">
      <x:c r="A10" s="160" t="str">
        <x:v>Terminal Value</x:v>
      </x:c>
      <x:c r="B10" s="185"/>
      <x:c r="C10" s="178"/>
      <x:c r="D10" s="178"/>
      <x:c r="E10" s="178"/>
      <x:c r="F10" s="178"/>
      <x:c r="G10" s="186" t="n">
        <x:f>G9/('Assumptions'!$B$12-'Assumptions'!$B$13)</x:f>
        <x:v>29249.30151668349</x:v>
      </x:c>
      <x:c r="H10" s="132"/>
      <x:c r="I10" s="132"/>
      <x:c r="J10" s="132"/>
      <x:c r="K10" s="132"/>
      <x:c r="L10" s="132"/>
    </x:row>
    <x:row r="11">
      <x:c r="A11" s="160" t="str">
        <x:v>PV of Terminal Value</x:v>
      </x:c>
      <x:c r="B11" s="185"/>
      <x:c r="C11" s="178"/>
      <x:c r="D11" s="178"/>
      <x:c r="E11" s="178"/>
      <x:c r="F11" s="178"/>
      <x:c r="G11" s="186" t="n">
        <x:f>G10*G7</x:f>
        <x:v>18579.965513568062</x:v>
      </x:c>
      <x:c r="H11" s="132"/>
      <x:c r="I11" s="132"/>
      <x:c r="J11" s="132"/>
      <x:c r="K11" s="132"/>
      <x:c r="L11" s="132"/>
    </x:row>
    <x:row r="12">
      <x:c r="A12" s="160" t="str"/>
      <x:c r="B12" s="185"/>
      <x:c r="C12" s="185"/>
      <x:c r="D12" s="185"/>
      <x:c r="E12" s="185"/>
      <x:c r="F12" s="185"/>
      <x:c r="G12" s="146"/>
      <x:c r="H12" s="132"/>
      <x:c r="I12" s="132"/>
      <x:c r="J12" s="132"/>
      <x:c r="K12" s="132"/>
      <x:c r="L12" s="132"/>
    </x:row>
    <x:row r="13">
      <x:c r="A13" s="160" t="str">
        <x:v>PV of Forecast FCF</x:v>
      </x:c>
      <x:c r="B13" s="174" t="n">
        <x:f>SUM(C8:G8)</x:f>
        <x:v>6896.466959178403</x:v>
      </x:c>
      <x:c r="C13" s="185"/>
      <x:c r="D13" s="185"/>
      <x:c r="E13" s="185"/>
      <x:c r="F13" s="185"/>
      <x:c r="G13" s="146"/>
      <x:c r="H13" s="132"/>
      <x:c r="I13" s="132"/>
      <x:c r="J13" s="132"/>
      <x:c r="K13" s="132"/>
      <x:c r="L13" s="132"/>
    </x:row>
    <x:row r="14">
      <x:c r="A14" s="160" t="str">
        <x:v>PV of Terminal Value</x:v>
      </x:c>
      <x:c r="B14" s="174" t="n">
        <x:f>G11</x:f>
        <x:v>18579.965513568062</x:v>
      </x:c>
      <x:c r="C14" s="185"/>
      <x:c r="D14" s="185"/>
      <x:c r="E14" s="185"/>
      <x:c r="F14" s="185"/>
      <x:c r="G14" s="146"/>
      <x:c r="H14" s="132"/>
      <x:c r="I14" s="132"/>
      <x:c r="J14" s="132"/>
      <x:c r="K14" s="132"/>
      <x:c r="L14" s="132"/>
    </x:row>
    <x:row r="15">
      <x:c r="A15" s="181" t="str">
        <x:v>Enterprise Value</x:v>
      </x:c>
      <x:c r="B15" s="189" t="n">
        <x:f>B13+B14</x:f>
        <x:v>25476.432472746466</x:v>
      </x:c>
      <x:c r="C15" s="185"/>
      <x:c r="D15" s="185"/>
      <x:c r="E15" s="185"/>
      <x:c r="F15" s="185"/>
      <x:c r="G15" s="146"/>
      <x:c r="H15" s="132"/>
      <x:c r="I15" s="132"/>
      <x:c r="J15" s="132"/>
      <x:c r="K15" s="132"/>
      <x:c r="L15" s="132"/>
    </x:row>
    <x:row r="16">
      <x:c r="A16" s="160" t="str">
        <x:v>Less: Net Debt / (Cash)</x:v>
      </x:c>
      <x:c r="B16" s="174" t="n">
        <x:f>'Assumptions'!B15</x:f>
        <x:v>2500</x:v>
      </x:c>
      <x:c r="C16" s="185"/>
      <x:c r="D16" s="185"/>
      <x:c r="E16" s="185"/>
      <x:c r="F16" s="185"/>
      <x:c r="G16" s="146"/>
      <x:c r="H16" s="132"/>
      <x:c r="I16" s="132"/>
      <x:c r="J16" s="132"/>
      <x:c r="K16" s="132"/>
      <x:c r="L16" s="132"/>
    </x:row>
    <x:row r="17">
      <x:c r="A17" s="181" t="str">
        <x:v>Equity Value</x:v>
      </x:c>
      <x:c r="B17" s="189" t="n">
        <x:f>B15-B16</x:f>
        <x:v>22976.432472746466</x:v>
      </x:c>
      <x:c r="C17" s="185"/>
      <x:c r="D17" s="185"/>
      <x:c r="E17" s="185"/>
      <x:c r="F17" s="185"/>
      <x:c r="G17" s="146"/>
      <x:c r="H17" s="132"/>
      <x:c r="I17" s="132"/>
      <x:c r="J17" s="132"/>
      <x:c r="K17" s="132"/>
      <x:c r="L17" s="132"/>
    </x:row>
    <x:row r="18">
      <x:c r="A18" s="160" t="str">
        <x:v>Diluted Shares</x:v>
      </x:c>
      <x:c r="B18" s="190" t="n">
        <x:f>'Assumptions'!B16</x:f>
        <x:v>420</x:v>
      </x:c>
      <x:c r="C18" s="185"/>
      <x:c r="D18" s="185"/>
      <x:c r="E18" s="185"/>
      <x:c r="F18" s="185"/>
      <x:c r="G18" s="146"/>
      <x:c r="H18" s="132"/>
      <x:c r="I18" s="132"/>
      <x:c r="J18" s="132"/>
      <x:c r="K18" s="132"/>
      <x:c r="L18" s="132"/>
    </x:row>
    <x:row r="19">
      <x:c r="A19" s="181" t="str">
        <x:v>Implied Share Price</x:v>
      </x:c>
      <x:c r="B19" s="191" t="n">
        <x:f>IFERROR(B17/B18,0)</x:f>
        <x:v>54.7057916017773</x:v>
      </x:c>
      <x:c r="C19" s="185"/>
      <x:c r="D19" s="185"/>
      <x:c r="E19" s="185"/>
      <x:c r="F19" s="185"/>
      <x:c r="G19" s="146"/>
      <x:c r="H19" s="132"/>
      <x:c r="I19" s="132"/>
      <x:c r="J19" s="132"/>
      <x:c r="K19" s="132"/>
      <x:c r="L19" s="132"/>
    </x:row>
    <x:row r="20">
      <x:c r="A20" s="160" t="str"/>
      <x:c r="B20" s="179"/>
      <x:c r="C20" s="185"/>
      <x:c r="D20" s="185"/>
      <x:c r="E20" s="185"/>
      <x:c r="F20" s="185"/>
      <x:c r="G20" s="146"/>
      <x:c r="H20" s="132"/>
      <x:c r="I20" s="132"/>
      <x:c r="J20" s="132"/>
      <x:c r="K20" s="132"/>
      <x:c r="L20" s="132"/>
    </x:row>
    <x:row r="21">
      <x:c r="A21" s="160" t="str">
        <x:v>Exit EV/EBITDA Cross-Check</x:v>
      </x:c>
      <x:c r="B21" s="179"/>
      <x:c r="C21" s="185"/>
      <x:c r="D21" s="185"/>
      <x:c r="E21" s="185"/>
      <x:c r="F21" s="185"/>
      <x:c r="G21" s="146"/>
      <x:c r="H21" s="132"/>
      <x:c r="I21" s="132"/>
      <x:c r="J21" s="132"/>
      <x:c r="K21" s="132"/>
      <x:c r="L21" s="132"/>
    </x:row>
    <x:row r="22">
      <x:c r="A22" s="160" t="str">
        <x:v>Terminal EBITDA</x:v>
      </x:c>
      <x:c r="B22" s="179" t="n">
        <x:f>'Forecast Model'!K9</x:f>
        <x:v>3927.9492612360004</x:v>
      </x:c>
      <x:c r="C22" s="185"/>
      <x:c r="D22" s="185"/>
      <x:c r="E22" s="185"/>
      <x:c r="F22" s="185"/>
      <x:c r="G22" s="146"/>
      <x:c r="H22" s="132"/>
      <x:c r="I22" s="132"/>
      <x:c r="J22" s="132"/>
      <x:c r="K22" s="132"/>
      <x:c r="L22" s="132"/>
    </x:row>
    <x:row r="23">
      <x:c r="A23" s="160" t="str">
        <x:v>Implied Exit Multiple</x:v>
      </x:c>
      <x:c r="B23" s="192" t="n">
        <x:f>IFERROR(B15/B22,0)</x:f>
        <x:v>6.485937260994518</x:v>
      </x:c>
      <x:c r="C23" s="185"/>
      <x:c r="D23" s="185"/>
      <x:c r="E23" s="185"/>
      <x:c r="F23" s="185"/>
      <x:c r="G23" s="146"/>
      <x:c r="H23" s="132"/>
      <x:c r="I23" s="132"/>
      <x:c r="J23" s="132"/>
      <x:c r="K23" s="132"/>
      <x:c r="L23" s="132"/>
    </x:row>
    <x:row r="24">
      <x:c r="A24" s="160" t="str">
        <x:v>Cross-Check EV @ Assumption</x:v>
      </x:c>
      <x:c r="B24" s="179" t="n">
        <x:f>B22*'Assumptions'!B19</x:f>
        <x:v>39279.49261236</x:v>
      </x:c>
      <x:c r="C24" s="185"/>
      <x:c r="D24" s="185"/>
      <x:c r="E24" s="185"/>
      <x:c r="F24" s="185"/>
      <x:c r="G24" s="146"/>
      <x:c r="H24" s="132"/>
      <x:c r="I24" s="132"/>
      <x:c r="J24" s="132"/>
      <x:c r="K24" s="132"/>
      <x:c r="L24" s="132"/>
    </x:row>
    <x:row r="25">
      <x:c r="A25" s="181" t="str">
        <x:v>Cross-Check Delta</x:v>
      </x:c>
      <x:c r="B25" s="182" t="n">
        <x:f>B24-B15</x:f>
        <x:v>13803.060139613535</x:v>
      </x:c>
      <x:c r="C25" s="185"/>
      <x:c r="D25" s="185"/>
      <x:c r="E25" s="185"/>
      <x:c r="F25" s="185"/>
      <x:c r="G25" s="146"/>
      <x:c r="H25" s="132"/>
      <x:c r="I25" s="132"/>
      <x:c r="J25" s="132"/>
      <x:c r="K25" s="132"/>
      <x:c r="L25" s="132"/>
    </x:row>
    <x:row r="26">
      <x:c r="A26" s="160" t="str">
        <x:v>Valuation method</x:v>
      </x:c>
      <x:c r="B26" s="185" t="str">
        <x:v>Gordon Growth DCF</x:v>
      </x:c>
      <x:c r="C26" s="185"/>
      <x:c r="D26" s="185"/>
      <x:c r="E26" s="185"/>
      <x:c r="F26" s="185"/>
      <x:c r="G26" s="146"/>
      <x:c r="H26" s="132"/>
      <x:c r="I26" s="132"/>
      <x:c r="J26" s="132"/>
      <x:c r="K26" s="132"/>
      <x:c r="L26" s="132"/>
    </x:row>
    <x:row r="27">
      <x:c r="A27" s="163" t="str">
        <x:v>Timing convention</x:v>
      </x:c>
      <x:c r="B27" s="193" t="str">
        <x:v>Year-end discounting</x:v>
      </x:c>
      <x:c r="C27" s="193"/>
      <x:c r="D27" s="193"/>
      <x:c r="E27" s="193"/>
      <x:c r="F27" s="193"/>
      <x:c r="G27" s="166"/>
      <x:c r="H27" s="132"/>
      <x:c r="I27" s="132"/>
      <x:c r="J27" s="132"/>
      <x:c r="K27" s="132"/>
      <x:c r="L27" s="13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</x:cols>
  <x:sheetData>
    <x:row r="1" ht="28" customHeight="1">
      <x:c r="A1" s="130" t="str">
        <x:v>Sensitivity Analysis</x:v>
      </x:c>
      <x:c r="B1" s="130"/>
      <x:c r="C1" s="130"/>
      <x:c r="D1" s="130"/>
      <x:c r="E1" s="130"/>
      <x:c r="F1" s="130"/>
      <x:c r="G1" s="130"/>
      <x:c r="H1" s="130"/>
      <x:c r="I1" s="131"/>
      <x:c r="J1" s="131"/>
      <x:c r="K1" s="131"/>
      <x:c r="L1" s="131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33" t="str">
        <x:v>Implied Share Price Sensitivity</x:v>
      </x:c>
      <x:c r="B3" s="134"/>
      <x:c r="C3" s="134"/>
      <x:c r="D3" s="134"/>
      <x:c r="E3" s="134"/>
      <x:c r="F3" s="134"/>
      <x:c r="G3" s="134"/>
      <x:c r="H3" s="135"/>
      <x:c r="I3" s="132"/>
      <x:c r="J3" s="132"/>
      <x:c r="K3" s="132"/>
      <x:c r="L3" s="132"/>
    </x:row>
    <x:row r="4">
      <x:c r="A4" s="157" t="str">
        <x:v>WACC \ Terminal Growth</x:v>
      </x:c>
      <x:c r="B4" s="158" t="n">
        <x:v>0.015</x:v>
      </x:c>
      <x:c r="C4" s="158" t="n">
        <x:v>0.02</x:v>
      </x:c>
      <x:c r="D4" s="158" t="n">
        <x:v>0.025</x:v>
      </x:c>
      <x:c r="E4" s="158" t="n">
        <x:v>0.03</x:v>
      </x:c>
      <x:c r="F4" s="159" t="n">
        <x:v>0.035</x:v>
      </x:c>
      <x:c r="G4" s="132"/>
      <x:c r="H4" s="132"/>
      <x:c r="I4" s="132"/>
      <x:c r="J4" s="132"/>
      <x:c r="K4" s="132"/>
      <x:c r="L4" s="132"/>
    </x:row>
    <x:row r="5">
      <x:c r="A5" s="194" t="n">
        <x:v>0.08</x:v>
      </x:c>
      <x:c r="B5" s="195" t="n">
        <x:f>IF(B$4&lt;$A5,((SUM('Valuation'!$C$8:$G$8)+'Valuation'!$G$5*(1+B$4)/($A5-B$4)*'Valuation'!$G$7)-'Assumptions'!$B$15)/'Assumptions'!$B$16,NA())</x:f>
        <x:v>57.64392605715258</x:v>
      </x:c>
      <x:c r="C5" s="195" t="n">
        <x:f>IF(C$4&lt;$A5,((SUM('Valuation'!$C$8:$G$8)+'Valuation'!$G$5*(1+C$4)/($A5-C$4)*'Valuation'!$G$7)-'Assumptions'!$B$15)/'Assumptions'!$B$16,NA())</x:f>
        <x:v>61.8270327393818</x:v>
      </x:c>
      <x:c r="D5" s="195" t="n">
        <x:f>IF(D$4&lt;$A5,((SUM('Valuation'!$C$8:$G$8)+'Valuation'!$G$5*(1+D$4)/($A5-D$4)*'Valuation'!$G$7)-'Assumptions'!$B$15)/'Assumptions'!$B$16,NA())</x:f>
        <x:v>66.7707042729254</x:v>
      </x:c>
      <x:c r="E5" s="195" t="n">
        <x:f>IF(E$4&lt;$A5,((SUM('Valuation'!$C$8:$G$8)+'Valuation'!$G$5*(1+E$4)/($A5-E$4)*'Valuation'!$G$7)-'Assumptions'!$B$15)/'Assumptions'!$B$16,NA())</x:f>
        <x:v>72.70311011317773</x:v>
      </x:c>
      <x:c r="F5" s="196" t="n">
        <x:f>IF(F$4&lt;$A5,((SUM('Valuation'!$C$8:$G$8)+'Valuation'!$G$5*(1+F$4)/($A5-F$4)*'Valuation'!$G$7)-'Assumptions'!$B$15)/'Assumptions'!$B$16,NA())</x:f>
        <x:v>79.953828362375</x:v>
      </x:c>
      <x:c r="G5" s="132"/>
      <x:c r="H5" s="132"/>
      <x:c r="I5" s="132"/>
      <x:c r="J5" s="132"/>
      <x:c r="K5" s="132"/>
      <x:c r="L5" s="132"/>
    </x:row>
    <x:row r="6">
      <x:c r="A6" s="194" t="n">
        <x:v>0.09</x:v>
      </x:c>
      <x:c r="B6" s="195" t="n">
        <x:f>IF(B$4&lt;$A6,((SUM('Valuation'!$C$8:$G$8)+'Valuation'!$G$5*(1+B$4)/($A6-B$4)*'Valuation'!$G$7)-'Assumptions'!$B$15)/'Assumptions'!$B$16,NA())</x:f>
        <x:v>51.35377304609681</x:v>
      </x:c>
      <x:c r="C6" s="195" t="n">
        <x:f>IF(C$4&lt;$A6,((SUM('Valuation'!$C$8:$G$8)+'Valuation'!$G$5*(1+C$4)/($A6-C$4)*'Valuation'!$G$7)-'Assumptions'!$B$15)/'Assumptions'!$B$16,NA())</x:f>
        <x:v>54.4899964157893</x:v>
      </x:c>
      <x:c r="D6" s="195" t="n">
        <x:f>IF(D$4&lt;$A6,((SUM('Valuation'!$C$8:$G$8)+'Valuation'!$G$5*(1+D$4)/($A6-D$4)*'Valuation'!$G$7)-'Assumptions'!$B$15)/'Assumptions'!$B$16,NA())</x:f>
        <x:v>58.108715688511374</x:v>
      </x:c>
      <x:c r="E6" s="195" t="n">
        <x:f>IF(E$4&lt;$A6,((SUM('Valuation'!$C$8:$G$8)+'Valuation'!$G$5*(1+E$4)/($A6-E$4)*'Valuation'!$G$7)-'Assumptions'!$B$15)/'Assumptions'!$B$16,NA())</x:f>
        <x:v>62.3305548400205</x:v>
      </x:c>
      <x:c r="F6" s="196" t="n">
        <x:f>IF(F$4&lt;$A6,((SUM('Valuation'!$C$8:$G$8)+'Valuation'!$G$5*(1+F$4)/($A6-F$4)*'Valuation'!$G$7)-'Assumptions'!$B$15)/'Assumptions'!$B$16,NA())</x:f>
        <x:v>67.32000110998581</x:v>
      </x:c>
      <x:c r="G6" s="132"/>
      <x:c r="H6" s="132"/>
      <x:c r="I6" s="132"/>
      <x:c r="J6" s="132"/>
      <x:c r="K6" s="132"/>
      <x:c r="L6" s="132"/>
    </x:row>
    <x:row r="7">
      <x:c r="A7" s="194" t="n">
        <x:v>0.095</x:v>
      </x:c>
      <x:c r="B7" s="195" t="n">
        <x:f>IF(B$4&lt;$A7,((SUM('Valuation'!$C$8:$G$8)+'Valuation'!$G$5*(1+B$4)/($A7-B$4)*'Valuation'!$G$7)-'Assumptions'!$B$15)/'Assumptions'!$B$16,NA())</x:f>
        <x:v>48.7983983853554</x:v>
      </x:c>
      <x:c r="C7" s="195" t="n">
        <x:f>IF(C$4&lt;$A7,((SUM('Valuation'!$C$8:$G$8)+'Valuation'!$G$5*(1+C$4)/($A7-C$4)*'Valuation'!$G$7)-'Assumptions'!$B$15)/'Assumptions'!$B$16,NA())</x:f>
        <x:v>51.555181886352294</x:v>
      </x:c>
      <x:c r="D7" s="195" t="n">
        <x:f>IF(D$4&lt;$A7,((SUM('Valuation'!$C$8:$G$8)+'Valuation'!$G$5*(1+D$4)/($A7-D$4)*'Valuation'!$G$7)-'Assumptions'!$B$15)/'Assumptions'!$B$16,NA())</x:f>
        <x:v>54.7057916017773</x:v>
      </x:c>
      <x:c r="E7" s="195" t="n">
        <x:f>IF(E$4&lt;$A7,((SUM('Valuation'!$C$8:$G$8)+'Valuation'!$G$5*(1+E$4)/($A7-E$4)*'Valuation'!$G$7)-'Assumptions'!$B$15)/'Assumptions'!$B$16,NA())</x:f>
        <x:v>58.34111050419079</x:v>
      </x:c>
      <x:c r="F7" s="196" t="n">
        <x:f>IF(F$4&lt;$A7,((SUM('Valuation'!$C$8:$G$8)+'Valuation'!$G$5*(1+F$4)/($A7-F$4)*'Valuation'!$G$7)-'Assumptions'!$B$15)/'Assumptions'!$B$16,NA())</x:f>
        <x:v>62.58231589033984</x:v>
      </x:c>
      <x:c r="G7" s="132"/>
      <x:c r="H7" s="132"/>
      <x:c r="I7" s="132"/>
      <x:c r="J7" s="132"/>
      <x:c r="K7" s="132"/>
      <x:c r="L7" s="132"/>
    </x:row>
    <x:row r="8">
      <x:c r="A8" s="194" t="n">
        <x:v>0.1</x:v>
      </x:c>
      <x:c r="B8" s="195" t="n">
        <x:f>IF(B$4&lt;$A8,((SUM('Valuation'!$C$8:$G$8)+'Valuation'!$G$5*(1+B$4)/($A8-B$4)*'Valuation'!$G$7)-'Assumptions'!$B$15)/'Assumptions'!$B$16,NA())</x:f>
        <x:v>46.54365603764239</x:v>
      </x:c>
      <x:c r="C8" s="195" t="n">
        <x:f>IF(C$4&lt;$A8,((SUM('Valuation'!$C$8:$G$8)+'Valuation'!$G$5*(1+C$4)/($A8-C$4)*'Valuation'!$G$7)-'Assumptions'!$B$15)/'Assumptions'!$B$16,NA())</x:f>
        <x:v>48.987219173094914</x:v>
      </x:c>
      <x:c r="D8" s="195" t="n">
        <x:f>IF(D$4&lt;$A8,((SUM('Valuation'!$C$8:$G$8)+'Valuation'!$G$5*(1+D$4)/($A8-D$4)*'Valuation'!$G$7)-'Assumptions'!$B$15)/'Assumptions'!$B$16,NA())</x:f>
        <x:v>51.75659072660777</x:v>
      </x:c>
      <x:c r="E8" s="195" t="n">
        <x:f>IF(E$4&lt;$A8,((SUM('Valuation'!$C$8:$G$8)+'Valuation'!$G$5*(1+E$4)/($A8-E$4)*'Valuation'!$G$7)-'Assumptions'!$B$15)/'Assumptions'!$B$16,NA())</x:f>
        <x:v>54.92158678776532</x:v>
      </x:c>
      <x:c r="F8" s="196" t="n">
        <x:f>IF(F$4&lt;$A8,((SUM('Valuation'!$C$8:$G$8)+'Valuation'!$G$5*(1+F$4)/($A8-F$4)*'Valuation'!$G$7)-'Assumptions'!$B$15)/'Assumptions'!$B$16,NA())</x:f>
        <x:v>58.57350531987018</x:v>
      </x:c>
      <x:c r="G8" s="132"/>
      <x:c r="H8" s="132"/>
      <x:c r="I8" s="132"/>
      <x:c r="J8" s="132"/>
      <x:c r="K8" s="132"/>
      <x:c r="L8" s="132"/>
    </x:row>
    <x:row r="9">
      <x:c r="A9" s="194" t="n">
        <x:v>0.11</x:v>
      </x:c>
      <x:c r="B9" s="195" t="n">
        <x:f>IF(B$4&lt;$A9,((SUM('Valuation'!$C$8:$G$8)+'Valuation'!$G$5*(1+B$4)/($A9-B$4)*'Valuation'!$G$7)-'Assumptions'!$B$15)/'Assumptions'!$B$16,NA())</x:f>
        <x:v>42.74619524149417</x:v>
      </x:c>
      <x:c r="C9" s="195" t="n">
        <x:f>IF(C$4&lt;$A9,((SUM('Valuation'!$C$8:$G$8)+'Valuation'!$G$5*(1+C$4)/($A9-C$4)*'Valuation'!$G$7)-'Assumptions'!$B$15)/'Assumptions'!$B$16,NA())</x:f>
        <x:v>44.70728131766595</x:v>
      </x:c>
      <x:c r="D9" s="195" t="n">
        <x:f>IF(D$4&lt;$A9,((SUM('Valuation'!$C$8:$G$8)+'Valuation'!$G$5*(1+D$4)/($A9-D$4)*'Valuation'!$G$7)-'Assumptions'!$B$15)/'Assumptions'!$B$16,NA())</x:f>
        <x:v>46.89908340279913</x:v>
      </x:c>
      <x:c r="E9" s="195" t="n">
        <x:f>IF(E$4&lt;$A9,((SUM('Valuation'!$C$8:$G$8)+'Valuation'!$G$5*(1+E$4)/($A9-E$4)*'Valuation'!$G$7)-'Assumptions'!$B$15)/'Assumptions'!$B$16,NA())</x:f>
        <x:v>49.36486074857394</x:v>
      </x:c>
      <x:c r="F9" s="196" t="n">
        <x:f>IF(F$4&lt;$A9,((SUM('Valuation'!$C$8:$G$8)+'Valuation'!$G$5*(1+F$4)/($A9-F$4)*'Valuation'!$G$7)-'Assumptions'!$B$15)/'Assumptions'!$B$16,NA())</x:f>
        <x:v>52.15940840711873</x:v>
      </x:c>
      <x:c r="G9" s="132"/>
      <x:c r="H9" s="132"/>
      <x:c r="I9" s="132"/>
      <x:c r="J9" s="132"/>
      <x:c r="K9" s="132"/>
      <x:c r="L9" s="132"/>
    </x:row>
    <x:row r="10">
      <x:c r="A10" s="197" t="n">
        <x:v>0.12</x:v>
      </x:c>
      <x:c r="B10" s="198" t="n">
        <x:f>IF(B$4&lt;$A10,((SUM('Valuation'!$C$8:$G$8)+'Valuation'!$G$5*(1+B$4)/($A10-B$4)*'Valuation'!$G$7)-'Assumptions'!$B$15)/'Assumptions'!$B$16,NA())</x:f>
        <x:v>39.67206031127895</x:v>
      </x:c>
      <x:c r="C10" s="198" t="n">
        <x:f>IF(C$4&lt;$A10,((SUM('Valuation'!$C$8:$G$8)+'Valuation'!$G$5*(1+C$4)/($A10-C$4)*'Valuation'!$G$7)-'Assumptions'!$B$15)/'Assumptions'!$B$16,NA())</x:f>
        <x:v>41.283331033322796</x:v>
      </x:c>
      <x:c r="D10" s="198" t="n">
        <x:f>IF(D$4&lt;$A10,((SUM('Valuation'!$C$8:$G$8)+'Valuation'!$G$5*(1+D$4)/($A10-D$4)*'Valuation'!$G$7)-'Assumptions'!$B$15)/'Assumptions'!$B$16,NA())</x:f>
        <x:v>43.0642091997923</x:v>
      </x:c>
      <x:c r="E10" s="198" t="n">
        <x:f>IF(E$4&lt;$A10,((SUM('Valuation'!$C$8:$G$8)+'Valuation'!$G$5*(1+E$4)/($A10-E$4)*'Valuation'!$G$7)-'Assumptions'!$B$15)/'Assumptions'!$B$16,NA())</x:f>
        <x:v>45.04296271809176</x:v>
      </x:c>
      <x:c r="F10" s="199" t="n">
        <x:f>IF(F$4&lt;$A10,((SUM('Valuation'!$C$8:$G$8)+'Valuation'!$G$5*(1+F$4)/($A10-F$4)*'Valuation'!$G$7)-'Assumptions'!$B$15)/'Assumptions'!$B$16,NA())</x:f>
        <x:v>47.25451076795586</x:v>
      </x:c>
      <x:c r="G10" s="132"/>
      <x:c r="H10" s="132"/>
      <x:c r="I10" s="132"/>
      <x:c r="J10" s="132"/>
      <x:c r="K10" s="132"/>
      <x:c r="L10" s="132"/>
    </x:row>
    <x:row r="11">
      <x:c r="A11" s="132"/>
      <x:c r="B11" s="132"/>
      <x:c r="C11" s="132"/>
      <x:c r="D11" s="132"/>
      <x:c r="E11" s="132"/>
      <x:c r="F11" s="132"/>
      <x:c r="G11" s="132"/>
      <x:c r="H11" s="132"/>
      <x:c r="I11" s="132"/>
      <x:c r="J11" s="132"/>
      <x:c r="K11" s="132"/>
      <x:c r="L11" s="132"/>
    </x:row>
    <x:row r="12">
      <x:c r="A12" s="152" t="str">
        <x:v>Sensitivity cells are formula-driven and recalculate the DCF mechanics using each WACC / terminal growth pair. Primary valuation remains on the Valuation tab.</x:v>
      </x:c>
      <x:c r="B12" s="152"/>
      <x:c r="C12" s="152"/>
      <x:c r="D12" s="152"/>
      <x:c r="E12" s="152"/>
      <x:c r="F12" s="152"/>
      <x:c r="G12" s="152"/>
      <x:c r="H12" s="152"/>
      <x:c r="I12" s="132"/>
      <x:c r="J12" s="132"/>
      <x:c r="K12" s="132"/>
      <x:c r="L12" s="132"/>
    </x:row>
    <x:row r="13">
      <x:c r="A13" s="152"/>
      <x:c r="B13" s="152"/>
      <x:c r="C13" s="152"/>
      <x:c r="D13" s="152"/>
      <x:c r="E13" s="152"/>
      <x:c r="F13" s="152"/>
      <x:c r="G13" s="152"/>
      <x:c r="H13" s="152"/>
      <x:c r="I13" s="132"/>
      <x:c r="J13" s="132"/>
      <x:c r="K13" s="132"/>
      <x:c r="L13" s="132"/>
    </x:row>
  </x:sheetData>
  <x:conditionalFormatting sqref="B5:F10">
    <x:cfRule type="colorScale" priority="1">
      <x:colorScale>
        <x:cfvo type="min"/>
        <x:cfvo type="percentile" val="50"/>
        <x:cfvo type="max"/>
        <x:color rgb="FFFCE4D6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  <x:col min="8" max="8" width="16" hidden="0" customWidth="1"/>
  </x:cols>
  <x:sheetData>
    <x:row r="1" ht="28" customHeight="1">
      <x:c r="A1" s="130" t="str">
        <x:v>Model Checks</x:v>
      </x:c>
      <x:c r="B1" s="130"/>
      <x:c r="C1" s="130"/>
      <x:c r="D1" s="130"/>
      <x:c r="E1" s="130"/>
      <x:c r="F1" s="130"/>
      <x:c r="G1" s="130"/>
      <x:c r="H1" s="130"/>
      <x:c r="I1" s="131"/>
      <x:c r="J1" s="131"/>
      <x:c r="K1" s="131"/>
      <x:c r="L1" s="131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33" t="str">
        <x:v>Summary</x:v>
      </x:c>
      <x:c r="B3" s="134"/>
      <x:c r="C3" s="134"/>
      <x:c r="D3" s="134"/>
      <x:c r="E3" s="134"/>
      <x:c r="F3" s="134"/>
      <x:c r="G3" s="134"/>
      <x:c r="H3" s="135"/>
      <x:c r="I3" s="132"/>
      <x:c r="J3" s="132"/>
      <x:c r="K3" s="132"/>
      <x:c r="L3" s="132"/>
    </x:row>
    <x:row r="4">
      <x:c r="A4" s="200" t="str">
        <x:v>Overall Model Status</x:v>
      </x:c>
      <x:c r="B4" s="200"/>
      <x:c r="C4" s="200"/>
      <x:c r="D4" s="200"/>
      <x:c r="E4" s="200"/>
      <x:c r="F4" s="200" t="str">
        <x:f>IF(COUNTIF(F7:F13,"Review")=0,"OK","Review")</x:f>
        <x:v>Review</x:v>
      </x:c>
      <x:c r="G4" s="132"/>
      <x:c r="H4" s="132"/>
      <x:c r="I4" s="132"/>
      <x:c r="J4" s="132"/>
      <x:c r="K4" s="132"/>
      <x:c r="L4" s="132"/>
    </x:row>
    <x:row r="5">
      <x:c r="A5" s="132"/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</x:row>
    <x:row r="6">
      <x:c r="A6" s="133" t="str">
        <x:v>Detailed Checks</x:v>
      </x:c>
      <x:c r="B6" s="134"/>
      <x:c r="C6" s="134"/>
      <x:c r="D6" s="134"/>
      <x:c r="E6" s="134"/>
      <x:c r="F6" s="134"/>
      <x:c r="G6" s="134"/>
      <x:c r="H6" s="135"/>
      <x:c r="I6" s="132"/>
      <x:c r="J6" s="132"/>
      <x:c r="K6" s="132"/>
      <x:c r="L6" s="132"/>
    </x:row>
    <x:row r="7">
      <x:c r="A7" s="157" t="str">
        <x:v>Check</x:v>
      </x:c>
      <x:c r="B7" s="158" t="str">
        <x:v>Actual</x:v>
      </x:c>
      <x:c r="C7" s="158" t="str">
        <x:v>Expected</x:v>
      </x:c>
      <x:c r="D7" s="158" t="str">
        <x:v>Difference</x:v>
      </x:c>
      <x:c r="E7" s="158" t="str">
        <x:v>Tolerance</x:v>
      </x:c>
      <x:c r="F7" s="158" t="str">
        <x:v>Status</x:v>
      </x:c>
      <x:c r="G7" s="158" t="str">
        <x:v>Notes</x:v>
      </x:c>
      <x:c r="H7" s="159" t="str">
        <x:v>Owner</x:v>
      </x:c>
      <x:c r="I7" s="132"/>
      <x:c r="J7" s="132"/>
      <x:c r="K7" s="132"/>
      <x:c r="L7" s="132"/>
    </x:row>
    <x:row r="8">
      <x:c r="A8" s="160" t="str">
        <x:v>Historical revenue present</x:v>
      </x:c>
      <x:c r="B8" s="201" t="n">
        <x:f>IF(SUM('Historical Financials'!B7:F7)&gt;0,1,0)</x:f>
        <x:v>1</x:v>
      </x:c>
      <x:c r="C8" s="201" t="n">
        <x:v>1</x:v>
      </x:c>
      <x:c r="D8" s="201" t="n">
        <x:f>B8-C8</x:f>
        <x:v>0</x:v>
      </x:c>
      <x:c r="E8" s="201" t="n">
        <x:v>0</x:v>
      </x:c>
      <x:c r="F8" s="185" t="str">
        <x:f>IF(ABS(D8)&lt;=E8,"OK","Review")</x:f>
        <x:v>OK</x:v>
      </x:c>
      <x:c r="G8" s="185" t="str">
        <x:v>Replace placeholder data with reported financials.</x:v>
      </x:c>
      <x:c r="H8" s="146" t="str">
        <x:v>User</x:v>
      </x:c>
      <x:c r="I8" s="132"/>
      <x:c r="J8" s="132"/>
      <x:c r="K8" s="132"/>
      <x:c r="L8" s="132"/>
    </x:row>
    <x:row r="9">
      <x:c r="A9" s="160" t="str">
        <x:v>WACC &gt; Terminal Growth</x:v>
      </x:c>
      <x:c r="B9" s="201" t="n">
        <x:f>IF('Assumptions'!B12&gt;'Assumptions'!B13,1,0)</x:f>
        <x:v>1</x:v>
      </x:c>
      <x:c r="C9" s="201" t="n">
        <x:v>1</x:v>
      </x:c>
      <x:c r="D9" s="201" t="n">
        <x:f>B9-C9</x:f>
        <x:v>0</x:v>
      </x:c>
      <x:c r="E9" s="201" t="n">
        <x:v>0</x:v>
      </x:c>
      <x:c r="F9" s="185" t="str">
        <x:f>IF(ABS(D9)&lt;=E9,"OK","Review")</x:f>
        <x:v>OK</x:v>
      </x:c>
      <x:c r="G9" s="185" t="str">
        <x:v>Required for Gordon Growth terminal value.</x:v>
      </x:c>
      <x:c r="H9" s="146" t="str">
        <x:v>User</x:v>
      </x:c>
      <x:c r="I9" s="132"/>
      <x:c r="J9" s="132"/>
      <x:c r="K9" s="132"/>
      <x:c r="L9" s="132"/>
    </x:row>
    <x:row r="10">
      <x:c r="A10" s="160" t="str">
        <x:v>Shares outstanding positive</x:v>
      </x:c>
      <x:c r="B10" s="201" t="n">
        <x:f>IF('Assumptions'!B16&gt;0,1,0)</x:f>
        <x:v>1</x:v>
      </x:c>
      <x:c r="C10" s="201" t="n">
        <x:v>1</x:v>
      </x:c>
      <x:c r="D10" s="201" t="n">
        <x:f>B10-C10</x:f>
        <x:v>0</x:v>
      </x:c>
      <x:c r="E10" s="201" t="n">
        <x:v>0</x:v>
      </x:c>
      <x:c r="F10" s="185" t="str">
        <x:f>IF(ABS(D10)&lt;=E10,"OK","Review")</x:f>
        <x:v>OK</x:v>
      </x:c>
      <x:c r="G10" s="185" t="str">
        <x:v>Needed for implied share price.</x:v>
      </x:c>
      <x:c r="H10" s="146" t="str">
        <x:v>User</x:v>
      </x:c>
      <x:c r="I10" s="132"/>
      <x:c r="J10" s="132"/>
      <x:c r="K10" s="132"/>
      <x:c r="L10" s="132"/>
    </x:row>
    <x:row r="11">
      <x:c r="A11" s="160" t="str">
        <x:v>FCF ties to components</x:v>
      </x:c>
      <x:c r="B11" s="201" t="n">
        <x:f>'Forecast Model'!K21-('Forecast Model'!K16+'Forecast Model'!K11-'Forecast Model'!K17-'Forecast Model'!K20)</x:f>
        <x:v>0</x:v>
      </x:c>
      <x:c r="C11" s="201" t="n">
        <x:v>0</x:v>
      </x:c>
      <x:c r="D11" s="201" t="n">
        <x:f>B11-C11</x:f>
        <x:v>0</x:v>
      </x:c>
      <x:c r="E11" s="201" t="n">
        <x:v>1</x:v>
      </x:c>
      <x:c r="F11" s="185" t="str">
        <x:f>IF(ABS(D11)&lt;=E11,"OK","Review")</x:f>
        <x:v>OK</x:v>
      </x:c>
      <x:c r="G11" s="185" t="str">
        <x:v>Forecast FCF = NOPAT + D&amp;A - Capex - Change in NWC.</x:v>
      </x:c>
      <x:c r="H11" s="146" t="str">
        <x:v>Model</x:v>
      </x:c>
      <x:c r="I11" s="132"/>
      <x:c r="J11" s="132"/>
      <x:c r="K11" s="132"/>
      <x:c r="L11" s="132"/>
    </x:row>
    <x:row r="12">
      <x:c r="A12" s="160" t="str">
        <x:v>Enterprise value bridge</x:v>
      </x:c>
      <x:c r="B12" s="201" t="n">
        <x:f>'Valuation'!B15-('Valuation'!B13+'Valuation'!B14)</x:f>
        <x:v>0</x:v>
      </x:c>
      <x:c r="C12" s="201" t="n">
        <x:v>0</x:v>
      </x:c>
      <x:c r="D12" s="201" t="n">
        <x:f>B12-C12</x:f>
        <x:v>0</x:v>
      </x:c>
      <x:c r="E12" s="201" t="n">
        <x:v>1</x:v>
      </x:c>
      <x:c r="F12" s="185" t="str">
        <x:f>IF(ABS(D12)&lt;=E12,"OK","Review")</x:f>
        <x:v>OK</x:v>
      </x:c>
      <x:c r="G12" s="185" t="str">
        <x:v>EV should equal PV forecast FCF + PV terminal value.</x:v>
      </x:c>
      <x:c r="H12" s="146" t="str">
        <x:v>Model</x:v>
      </x:c>
      <x:c r="I12" s="132"/>
      <x:c r="J12" s="132"/>
      <x:c r="K12" s="132"/>
      <x:c r="L12" s="132"/>
    </x:row>
    <x:row r="13">
      <x:c r="A13" s="163" t="str">
        <x:v>Source data mode reviewed</x:v>
      </x:c>
      <x:c r="B13" s="202" t="n">
        <x:f>IF('Assumptions'!B18="Illustrative placeholder",0,1)</x:f>
        <x:v>0</x:v>
      </x:c>
      <x:c r="C13" s="202" t="n">
        <x:v>1</x:v>
      </x:c>
      <x:c r="D13" s="202" t="n">
        <x:f>B13-C13</x:f>
        <x:v>-1</x:v>
      </x:c>
      <x:c r="E13" s="202" t="n">
        <x:v>0</x:v>
      </x:c>
      <x:c r="F13" s="193" t="str">
        <x:f>IF(ABS(D13)&lt;=E13,"OK","Review")</x:f>
        <x:v>Review</x:v>
      </x:c>
      <x:c r="G13" s="193" t="str">
        <x:v>Review until placeholder mode is replaced or accepted.</x:v>
      </x:c>
      <x:c r="H13" s="166" t="str">
        <x:v>User</x:v>
      </x:c>
      <x:c r="I13" s="132"/>
      <x:c r="J13" s="132"/>
      <x:c r="K13" s="132"/>
      <x:c r="L13" s="132"/>
    </x:row>
  </x:sheetData>
  <x:conditionalFormatting sqref="F4:F4">
    <x:cfRule type="containsText" dxfId="2" priority="1" operator="containsText" text="OK"/>
    <x:cfRule type="containsText" dxfId="3" priority="2" operator="containsText" text="Review"/>
  </x:conditionalFormatting>
  <x:conditionalFormatting sqref="F8:F13">
    <x:cfRule type="containsText" dxfId="4" priority="3" operator="containsText" text="OK"/>
    <x:cfRule type="containsText" dxfId="5" priority="4" operator="containsText" text="Review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6" hidden="0" customWidth="1"/>
    <x:col min="6" max="6" width="50" hidden="0" customWidth="1"/>
    <x:col min="7" max="7" width="42" hidden="0" customWidth="1"/>
  </x:cols>
  <x:sheetData>
    <x:row r="1" ht="28" customHeight="1">
      <x:c r="A1" s="130" t="str">
        <x:v>Sources Audit</x:v>
      </x:c>
      <x:c r="B1" s="130"/>
      <x:c r="C1" s="130"/>
      <x:c r="D1" s="130"/>
      <x:c r="E1" s="130"/>
      <x:c r="F1" s="130"/>
      <x:c r="G1" s="130"/>
      <x:c r="H1" s="131"/>
      <x:c r="I1" s="131"/>
      <x:c r="J1" s="131"/>
      <x:c r="K1" s="131"/>
      <x:c r="L1" s="131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33" t="str">
        <x:v>Source Register</x:v>
      </x:c>
      <x:c r="B3" s="134"/>
      <x:c r="C3" s="134"/>
      <x:c r="D3" s="134"/>
      <x:c r="E3" s="134"/>
      <x:c r="F3" s="134"/>
      <x:c r="G3" s="135"/>
      <x:c r="H3" s="132"/>
      <x:c r="I3" s="132"/>
      <x:c r="J3" s="132"/>
      <x:c r="K3" s="132"/>
      <x:c r="L3" s="132"/>
    </x:row>
    <x:row r="4">
      <x:c r="A4" s="157" t="str">
        <x:v>Source ID</x:v>
      </x:c>
      <x:c r="B4" s="158" t="str">
        <x:v>Item</x:v>
      </x:c>
      <x:c r="C4" s="158" t="str">
        <x:v>Period / As-of</x:v>
      </x:c>
      <x:c r="D4" s="158" t="str">
        <x:v>Value / Units</x:v>
      </x:c>
      <x:c r="E4" s="158" t="str">
        <x:v>Source Name</x:v>
      </x:c>
      <x:c r="F4" s="158" t="str">
        <x:v>Plain-text URL</x:v>
      </x:c>
      <x:c r="G4" s="159" t="str">
        <x:v>Notes</x:v>
      </x:c>
      <x:c r="H4" s="132"/>
      <x:c r="I4" s="132"/>
      <x:c r="J4" s="132"/>
      <x:c r="K4" s="132"/>
      <x:c r="L4" s="132"/>
    </x:row>
    <x:row r="5">
      <x:c r="A5" s="160" t="str">
        <x:v>SRC-001</x:v>
      </x:c>
      <x:c r="B5" s="185" t="str">
        <x:v>Historical financial statements</x:v>
      </x:c>
      <x:c r="C5" s="185" t="str">
        <x:v>2022A-2026A</x:v>
      </x:c>
      <x:c r="D5" s="185" t="str">
        <x:v>$mm</x:v>
      </x:c>
      <x:c r="E5" s="185" t="str">
        <x:v>Company filings / annual reports</x:v>
      </x:c>
      <x:c r="F5" s="118" t="str">
        <x:v>https://example.com/replace-with-company-filing</x:v>
      </x:c>
      <x:c r="G5" s="30" t="str">
        <x:v>Placeholder source. Replace with actual filing, export, or data vendor URL.</x:v>
      </x:c>
      <x:c r="H5" s="132"/>
      <x:c r="I5" s="132"/>
      <x:c r="J5" s="132"/>
      <x:c r="K5" s="132"/>
      <x:c r="L5" s="132"/>
    </x:row>
    <x:row r="6">
      <x:c r="A6" s="160" t="str">
        <x:v>SRC-002</x:v>
      </x:c>
      <x:c r="B6" s="185" t="str">
        <x:v>Share count</x:v>
      </x:c>
      <x:c r="C6" s="185" t="str">
        <x:v>Latest filing</x:v>
      </x:c>
      <x:c r="D6" s="185" t="str">
        <x:v>mm shares</x:v>
      </x:c>
      <x:c r="E6" s="185" t="str">
        <x:v>Company filing</x:v>
      </x:c>
      <x:c r="F6" s="118" t="str">
        <x:v>https://example.com/replace-with-share-count-source</x:v>
      </x:c>
      <x:c r="G6" s="30" t="str">
        <x:v>Tie to weighted-average diluted shares or current diluted count.</x:v>
      </x:c>
      <x:c r="H6" s="132"/>
      <x:c r="I6" s="132"/>
      <x:c r="J6" s="132"/>
      <x:c r="K6" s="132"/>
      <x:c r="L6" s="132"/>
    </x:row>
    <x:row r="7">
      <x:c r="A7" s="160" t="str">
        <x:v>SRC-003</x:v>
      </x:c>
      <x:c r="B7" s="185" t="str">
        <x:v>Net debt / cash</x:v>
      </x:c>
      <x:c r="C7" s="185" t="str">
        <x:v>Valuation date</x:v>
      </x:c>
      <x:c r="D7" s="185" t="str">
        <x:v>$mm</x:v>
      </x:c>
      <x:c r="E7" s="185" t="str">
        <x:v>Balance sheet / market data</x:v>
      </x:c>
      <x:c r="F7" s="118" t="str">
        <x:v>https://example.com/replace-with-net-debt-source</x:v>
      </x:c>
      <x:c r="G7" s="30" t="str">
        <x:v>Use latest cash, debt, and non-operating assets/liabilities.</x:v>
      </x:c>
      <x:c r="H7" s="132"/>
      <x:c r="I7" s="132"/>
      <x:c r="J7" s="132"/>
      <x:c r="K7" s="132"/>
      <x:c r="L7" s="132"/>
    </x:row>
    <x:row r="8">
      <x:c r="A8" s="160" t="str">
        <x:v>SRC-004</x:v>
      </x:c>
      <x:c r="B8" s="185" t="str">
        <x:v>WACC / terminal assumptions</x:v>
      </x:c>
      <x:c r="C8" s="185" t="str">
        <x:v>Valuation date</x:v>
      </x:c>
      <x:c r="D8" s="185" t="str">
        <x:v>% / x</x:v>
      </x:c>
      <x:c r="E8" s="185" t="str">
        <x:v>Analyst inputs</x:v>
      </x:c>
      <x:c r="F8" s="118" t="str">
        <x:v>https://example.com/replace-with-wacc-support</x:v>
      </x:c>
      <x:c r="G8" s="30" t="str">
        <x:v>Document cost of capital, peer multiples, and terminal growth rationale.</x:v>
      </x:c>
      <x:c r="H8" s="132"/>
      <x:c r="I8" s="132"/>
      <x:c r="J8" s="132"/>
      <x:c r="K8" s="132"/>
      <x:c r="L8" s="132"/>
    </x:row>
    <x:row r="9">
      <x:c r="A9" s="160" t="str"/>
      <x:c r="B9" s="185" t="str"/>
      <x:c r="C9" s="185" t="str"/>
      <x:c r="D9" s="185" t="str"/>
      <x:c r="E9" s="185" t="str"/>
      <x:c r="F9" s="118" t="str"/>
      <x:c r="G9" s="30" t="str"/>
      <x:c r="H9" s="132"/>
      <x:c r="I9" s="132"/>
      <x:c r="J9" s="132"/>
      <x:c r="K9" s="132"/>
      <x:c r="L9" s="132"/>
    </x:row>
    <x:row r="10">
      <x:c r="A10" s="203" t="str">
        <x:v>Audit note</x:v>
      </x:c>
      <x:c r="B10" s="204" t="str">
        <x:v>Do not rely on placeholder outputs for investment, lending, or board decisions until source rows and historical values are replaced.</x:v>
      </x:c>
      <x:c r="C10" s="204" t="str"/>
      <x:c r="D10" s="204" t="str"/>
      <x:c r="E10" s="204" t="str"/>
      <x:c r="F10" s="126" t="str"/>
      <x:c r="G10" s="127" t="str"/>
      <x:c r="H10" s="132"/>
      <x:c r="I10" s="132"/>
      <x:c r="J10" s="132"/>
      <x:c r="K10" s="132"/>
      <x:c r="L10" s="132"/>
    </x:row>
  </x:sheetData>
  <x:pageMargins left="0.7" right="0.7" top="0.75" bottom="0.75" header="0.3" footer="0.3"/>
</x:worksheet>
</file>